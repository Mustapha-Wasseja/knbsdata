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ownloads\STATISTICAL ABSTRACT-20251215T075305Z-1-001\STATISTICAL ABSTRACT\CHAPTER 2  NATIONAL ACCOUNTS\"/>
    </mc:Choice>
  </mc:AlternateContent>
  <bookViews>
    <workbookView xWindow="0" yWindow="0" windowWidth="23040" windowHeight="9072" tabRatio="777" activeTab="14"/>
  </bookViews>
  <sheets>
    <sheet name="Table 2.1" sheetId="10" r:id="rId1"/>
    <sheet name="Table 2.2" sheetId="5" r:id="rId2"/>
    <sheet name="Table 2.3" sheetId="6" r:id="rId3"/>
    <sheet name="Table 2.4" sheetId="1" r:id="rId4"/>
    <sheet name="Table 2.5" sheetId="2" r:id="rId5"/>
    <sheet name="Table 30" sheetId="3" state="hidden" r:id="rId6"/>
    <sheet name="Tables 31a, b, c" sheetId="11" state="hidden" r:id="rId7"/>
    <sheet name="Tables 32a,b-33a,b" sheetId="13" state="hidden" r:id="rId8"/>
    <sheet name="Table 34" sheetId="18" state="hidden" r:id="rId9"/>
    <sheet name="Tables 35" sheetId="15" state="hidden" r:id="rId10"/>
    <sheet name="Sheet1" sheetId="16" state="hidden" r:id="rId11"/>
    <sheet name="Sheet2" sheetId="17" state="hidden" r:id="rId12"/>
    <sheet name="Table 2.6 a,b,c,d" sheetId="21" r:id="rId13"/>
    <sheet name="Table 2.7a,b,c,d" sheetId="22" r:id="rId14"/>
    <sheet name="Table 2.8 - 2.9" sheetId="20" r:id="rId15"/>
    <sheet name="Sheet3" sheetId="19" state="hidden" r:id="rId16"/>
  </sheets>
  <definedNames>
    <definedName name="_xlnm._FilterDatabase" localSheetId="0" hidden="1">'Table 2.1'!$A$1:$K$1</definedName>
    <definedName name="_xlnm.Print_Area" localSheetId="0">'Table 2.1'!$A$1:$I$131</definedName>
    <definedName name="_xlnm.Print_Area" localSheetId="1">'Table 2.2'!$A$1:$I$47</definedName>
    <definedName name="_xlnm.Print_Area" localSheetId="2">'Table 2.3'!$A$1:$I$47</definedName>
    <definedName name="_xlnm.Print_Area" localSheetId="3">'Table 2.4'!$A$1:$I$48</definedName>
    <definedName name="_xlnm.Print_Area" localSheetId="12">'Table 2.6 a,b,c,d'!$A$1:$I$63</definedName>
    <definedName name="_xlnm.Print_Area" localSheetId="13">'Table 2.7a,b,c,d'!$A$1:$I$61</definedName>
    <definedName name="_xlnm.Print_Area" localSheetId="14">'Table 2.8 - 2.9'!$A$1:$J$51</definedName>
    <definedName name="_xlnm.Print_Area" localSheetId="5">'Table 30'!$A$1:$F$28</definedName>
    <definedName name="_xlnm.Print_Area" localSheetId="6">'Tables 31a, b, c'!$A$1:$F$48</definedName>
    <definedName name="_xlnm.Print_Area" localSheetId="7">'Tables 32a,b-33a,b'!$A$1:$F$48</definedName>
    <definedName name="_xlnm.Print_Area" localSheetId="9">'Tables 35'!$A$1:$F$24</definedName>
    <definedName name="_xlnm.Print_Titles" localSheetId="0">'Table 2.1'!$1:$1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5" l="1"/>
  <c r="F22" i="15" s="1"/>
  <c r="E17" i="15"/>
  <c r="E22" i="15" s="1"/>
  <c r="D17" i="15"/>
  <c r="D22" i="15" s="1"/>
  <c r="F8" i="15"/>
  <c r="E8" i="15"/>
  <c r="D8" i="15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21" i="13"/>
  <c r="F20" i="13"/>
  <c r="F19" i="13"/>
  <c r="F18" i="13"/>
  <c r="F17" i="13"/>
  <c r="E21" i="13"/>
  <c r="E20" i="13"/>
  <c r="E19" i="13"/>
  <c r="E18" i="13"/>
  <c r="E17" i="13"/>
  <c r="D21" i="13"/>
  <c r="D20" i="13"/>
  <c r="D19" i="13"/>
  <c r="D18" i="13"/>
  <c r="D17" i="13"/>
  <c r="C21" i="13"/>
  <c r="C20" i="13"/>
  <c r="C19" i="13"/>
  <c r="C18" i="13"/>
  <c r="C17" i="13"/>
  <c r="B21" i="13"/>
  <c r="B20" i="13"/>
  <c r="B19" i="13"/>
  <c r="B18" i="13"/>
  <c r="B17" i="13"/>
  <c r="F8" i="3"/>
  <c r="F11" i="3" s="1"/>
  <c r="E8" i="3"/>
  <c r="E11" i="3" s="1"/>
  <c r="D8" i="3"/>
  <c r="D11" i="3" s="1"/>
</calcChain>
</file>

<file path=xl/sharedStrings.xml><?xml version="1.0" encoding="utf-8"?>
<sst xmlns="http://schemas.openxmlformats.org/spreadsheetml/2006/main" count="759" uniqueCount="206">
  <si>
    <t>Industry</t>
  </si>
  <si>
    <t>Mining and quarrying</t>
  </si>
  <si>
    <t>Manufacturing</t>
  </si>
  <si>
    <t>Construction</t>
  </si>
  <si>
    <t>Wholesale and retail trade, repairs</t>
  </si>
  <si>
    <t>All industries at basic prices</t>
  </si>
  <si>
    <t>GDP at market prices</t>
  </si>
  <si>
    <t>Less: Financial services indirectly measured</t>
  </si>
  <si>
    <t>Taxes less subsidies on products</t>
  </si>
  <si>
    <t>Transport and storage</t>
  </si>
  <si>
    <t>Manufacture of food, beverages and tobacco</t>
  </si>
  <si>
    <t>All other manufacturing</t>
  </si>
  <si>
    <t>Education</t>
  </si>
  <si>
    <t>Health and social work</t>
  </si>
  <si>
    <t>General government</t>
  </si>
  <si>
    <t>Electricity supply</t>
  </si>
  <si>
    <t>Public administration and defence</t>
  </si>
  <si>
    <t>All industries excl. agriculture and forestry</t>
  </si>
  <si>
    <t>* Provisional</t>
  </si>
  <si>
    <t>CURRENT PRICES, KShs million</t>
  </si>
  <si>
    <t>Compensation of employees</t>
  </si>
  <si>
    <t>Consumption of fixed capital</t>
  </si>
  <si>
    <t>Net operating surplus</t>
  </si>
  <si>
    <t>Gross domestic product at factor cost</t>
  </si>
  <si>
    <t>Taxes on production and imports</t>
  </si>
  <si>
    <t>Subsidies</t>
  </si>
  <si>
    <t>Gross domestic product at market prices</t>
  </si>
  <si>
    <t>Primary incomes</t>
  </si>
  <si>
    <t>Receivable from the rest of the world</t>
  </si>
  <si>
    <t>Payable to rest of the world</t>
  </si>
  <si>
    <t>Gross national income at market prices</t>
  </si>
  <si>
    <t>Current transfers</t>
  </si>
  <si>
    <t>Gross national disposable income</t>
  </si>
  <si>
    <t>Per capita, Kshs</t>
  </si>
  <si>
    <t>CONSTANT PRICES</t>
  </si>
  <si>
    <t>GDP at market prices, KShs million</t>
  </si>
  <si>
    <t>Per capita</t>
  </si>
  <si>
    <t>Current prices - KSh millions</t>
  </si>
  <si>
    <t>Disposable income and saving</t>
  </si>
  <si>
    <t>Net national disposable income</t>
  </si>
  <si>
    <t>Final consumption expenditure</t>
  </si>
  <si>
    <t>Private</t>
  </si>
  <si>
    <t>Saving, net</t>
  </si>
  <si>
    <t>Financing of capital formation</t>
  </si>
  <si>
    <t>Capital transfers, receivable from abroad</t>
  </si>
  <si>
    <t>Capital transfers, payable from abroad</t>
  </si>
  <si>
    <t>Total</t>
  </si>
  <si>
    <t>Gross fixed capital formation</t>
  </si>
  <si>
    <t>Changes in inventories</t>
  </si>
  <si>
    <t>Net lending (+) / Net borrowing(-)</t>
  </si>
  <si>
    <t>Output at basic prices</t>
  </si>
  <si>
    <t>Intermediate consumption</t>
  </si>
  <si>
    <t>Gross value added at basic prices</t>
  </si>
  <si>
    <t>Other taxes on production</t>
  </si>
  <si>
    <t>Gross operating surplus/mixed income</t>
  </si>
  <si>
    <t>Electricity and water</t>
  </si>
  <si>
    <t>Less: Subsidies</t>
  </si>
  <si>
    <t>Total economy</t>
  </si>
  <si>
    <t>Taxes on products</t>
  </si>
  <si>
    <t>Annual percentage change</t>
  </si>
  <si>
    <t>Current Prices - KSh Million</t>
  </si>
  <si>
    <t>Expenditure category</t>
  </si>
  <si>
    <t>Government final consumption expenditure</t>
  </si>
  <si>
    <t>Private final consumption expenditure</t>
  </si>
  <si>
    <t>Gross domestic expenditure</t>
  </si>
  <si>
    <t>Exports of goods and services</t>
  </si>
  <si>
    <t>Imports of goods and services</t>
  </si>
  <si>
    <t>Percentage Shares</t>
  </si>
  <si>
    <t xml:space="preserve">Changes in inventories including discrepancy </t>
  </si>
  <si>
    <t>Purpose</t>
  </si>
  <si>
    <t>Buildings and structures</t>
  </si>
  <si>
    <t>Transport equipment</t>
  </si>
  <si>
    <t>Other machinery and equipment</t>
  </si>
  <si>
    <t>Cultivated assets</t>
  </si>
  <si>
    <t>Intangible assets</t>
  </si>
  <si>
    <t>KShs million</t>
  </si>
  <si>
    <r>
      <t xml:space="preserve"> </t>
    </r>
    <r>
      <rPr>
        <vertAlign val="superscript"/>
        <sz val="10"/>
        <color indexed="8"/>
        <rFont val="Arial Narrow"/>
        <family val="2"/>
      </rPr>
      <t>+</t>
    </r>
    <r>
      <rPr>
        <sz val="10"/>
        <color indexed="8"/>
        <rFont val="Arial Narrow"/>
        <family val="2"/>
      </rPr>
      <t xml:space="preserve"> Revised</t>
    </r>
  </si>
  <si>
    <r>
      <t xml:space="preserve">Discrepancy </t>
    </r>
    <r>
      <rPr>
        <vertAlign val="superscript"/>
        <sz val="10"/>
        <rFont val="Arial Narrow"/>
        <family val="2"/>
      </rPr>
      <t>1</t>
    </r>
  </si>
  <si>
    <r>
      <t xml:space="preserve">1 </t>
    </r>
    <r>
      <rPr>
        <sz val="10"/>
        <rFont val="Arial Narrow"/>
        <family val="2"/>
      </rPr>
      <t>Difference between GDP production approach and GDP expenditure approach</t>
    </r>
  </si>
  <si>
    <r>
      <t>1</t>
    </r>
    <r>
      <rPr>
        <sz val="10"/>
        <rFont val="Arial Narrow"/>
        <family val="2"/>
      </rPr>
      <t xml:space="preserve"> Discrepancy expressed as a percentage of GDP</t>
    </r>
  </si>
  <si>
    <r>
      <t>2010</t>
    </r>
    <r>
      <rPr>
        <b/>
        <vertAlign val="superscript"/>
        <sz val="10"/>
        <rFont val="Arial Narrow"/>
        <family val="2"/>
      </rPr>
      <t>+</t>
    </r>
  </si>
  <si>
    <t>Constant 2009 Prices - KSh Million</t>
  </si>
  <si>
    <t>Information communication technology</t>
  </si>
  <si>
    <t>Agriculture, forestry and fishing</t>
  </si>
  <si>
    <t>Growing of crops</t>
  </si>
  <si>
    <t>Animal production</t>
  </si>
  <si>
    <t>Support activities to agriculture</t>
  </si>
  <si>
    <t>Forestry &amp; logging</t>
  </si>
  <si>
    <t>Fishing &amp; aquaculture</t>
  </si>
  <si>
    <t>Water supply; sewerage, waste management</t>
  </si>
  <si>
    <t>Telecommunications</t>
  </si>
  <si>
    <t>Publishing, broadcasting, other IT and information activities</t>
  </si>
  <si>
    <t>Financial and insurance activities</t>
  </si>
  <si>
    <t>Real estate</t>
  </si>
  <si>
    <t>Professional, scientific and technical activities</t>
  </si>
  <si>
    <t>Administrative and support service activities</t>
  </si>
  <si>
    <t>Arts, entertainment and recreation</t>
  </si>
  <si>
    <t>Other service activities</t>
  </si>
  <si>
    <t>Activities of households as employers;</t>
  </si>
  <si>
    <t>Accommodation and food service activities</t>
  </si>
  <si>
    <t>Human health and social work activities</t>
  </si>
  <si>
    <t>Information and communication</t>
  </si>
  <si>
    <t>Current prices - KShs million</t>
  </si>
  <si>
    <t>Constant prices</t>
  </si>
  <si>
    <t>- Annual percentage change</t>
  </si>
  <si>
    <t>Table 34: Gross Domestic Product and Gross National Income</t>
  </si>
  <si>
    <t>NATIONAL ACCOUNTS</t>
  </si>
  <si>
    <t>Percentage changes</t>
  </si>
  <si>
    <r>
      <t>2013</t>
    </r>
    <r>
      <rPr>
        <b/>
        <sz val="10"/>
        <color rgb="FF993300"/>
        <rFont val="Calibri"/>
        <family val="2"/>
      </rPr>
      <t>⁺</t>
    </r>
  </si>
  <si>
    <r>
      <t>2014</t>
    </r>
    <r>
      <rPr>
        <b/>
        <sz val="10"/>
        <color rgb="FF993300"/>
        <rFont val="Calibri"/>
        <family val="2"/>
      </rPr>
      <t>⁺</t>
    </r>
  </si>
  <si>
    <r>
      <t>2015</t>
    </r>
    <r>
      <rPr>
        <b/>
        <sz val="10"/>
        <color rgb="FF993300"/>
        <rFont val="Calibri"/>
        <family val="2"/>
      </rPr>
      <t>⁺</t>
    </r>
  </si>
  <si>
    <t>2016*</t>
  </si>
  <si>
    <r>
      <t>2012</t>
    </r>
    <r>
      <rPr>
        <b/>
        <sz val="10"/>
        <color rgb="FF993300"/>
        <rFont val="Calibri"/>
        <family val="2"/>
      </rPr>
      <t>⁺</t>
    </r>
  </si>
  <si>
    <t>Table 35:National Disposable Income and Saving, 2012- 2016</t>
  </si>
  <si>
    <t>Table 32(a) Gross Fixed Capital Formation, 2012-2016</t>
  </si>
  <si>
    <t>Table 32(b) Gross Fixed Capital Formation, 2012-2016</t>
  </si>
  <si>
    <t>Table 33(a) Gross Fixed Capital Formation, 2012-2016</t>
  </si>
  <si>
    <t>Table 33(b) Gross Fixed Capital Formation, 2012-2016</t>
  </si>
  <si>
    <t>Table 31(a)Expenditure on the Gross Domestic Product, 2012-2016</t>
  </si>
  <si>
    <t>Table 31(b)Expenditure on the Gross Domestic Product, 2012-2016</t>
  </si>
  <si>
    <t>Table 31(c) Expenditure on the Gross Domestic Product, 2012-2016</t>
  </si>
  <si>
    <t>Table 30 Gross Domestic Product and Gross National Income 2012-2016</t>
  </si>
  <si>
    <t>Intellectual property products</t>
  </si>
  <si>
    <t>Dwellings</t>
  </si>
  <si>
    <t>Buildings other than dwellings</t>
  </si>
  <si>
    <t>Other structures</t>
  </si>
  <si>
    <t>ICT equipment</t>
  </si>
  <si>
    <t>Animal resources yielding repeat products</t>
  </si>
  <si>
    <t>Tree, crop and plant resources yielding repeat products</t>
  </si>
  <si>
    <t>Wholesale and retail trade, repair of motor vehicle</t>
  </si>
  <si>
    <t>All industries</t>
  </si>
  <si>
    <t>Per cent</t>
  </si>
  <si>
    <t>Percentage Share</t>
  </si>
  <si>
    <t>Percentage Change</t>
  </si>
  <si>
    <t>Gross domestic product at market prices, KSh Million</t>
  </si>
  <si>
    <t>Gross national income at market prices, KSh Million</t>
  </si>
  <si>
    <t>Gross national disposable income, KSh Million</t>
  </si>
  <si>
    <t>GDP at market prices, KSh Million</t>
  </si>
  <si>
    <t>Per capita, Gross domestic product at market prices ( KSh)</t>
  </si>
  <si>
    <t>Per capita, Gross national income at market prices  ( KSh)</t>
  </si>
  <si>
    <t>Per capita GDP at market prices,  KSh</t>
  </si>
  <si>
    <t>Less: Financial intermediation services indirectly measured</t>
  </si>
  <si>
    <t>Current Prices, KSh Million</t>
  </si>
  <si>
    <t>Constant Prices</t>
  </si>
  <si>
    <t>Percentage Contribution to GDP</t>
  </si>
  <si>
    <t>Constant 2016 Prices - KSh Million</t>
  </si>
  <si>
    <t>Final consumption expenditure by NPISH</t>
  </si>
  <si>
    <t>NPISH</t>
  </si>
  <si>
    <t>Households</t>
  </si>
  <si>
    <t>Capital transfers from abroad, net</t>
  </si>
  <si>
    <r>
      <t>Taxes on production and imports less subsidies</t>
    </r>
    <r>
      <rPr>
        <vertAlign val="superscript"/>
        <sz val="10"/>
        <rFont val="Arial Narrow"/>
        <family val="2"/>
      </rPr>
      <t>+</t>
    </r>
  </si>
  <si>
    <t>General sec education……………………………………………………………………..</t>
  </si>
  <si>
    <t>Higher and other education…………………………………………………………………</t>
  </si>
  <si>
    <t>Pre-primary and Primary education………………………………………………………..</t>
  </si>
  <si>
    <t>Land transport………………………………………………………………………………..</t>
  </si>
  <si>
    <t>Air transport including support services……………………………………………………</t>
  </si>
  <si>
    <t>All other transport including postal and courier activities…………………………………..</t>
  </si>
  <si>
    <t>Primary education……………………………………………</t>
  </si>
  <si>
    <t>General Secondary Education…………………………………</t>
  </si>
  <si>
    <t>Higher and Other Education…………………………………</t>
  </si>
  <si>
    <t>Land transport………………………………………………………….</t>
  </si>
  <si>
    <t>Air transport including support services……………………..</t>
  </si>
  <si>
    <t>All other transport including postal and courier activities….</t>
  </si>
  <si>
    <t>Land transport……………………………………………………………….</t>
  </si>
  <si>
    <t>Air transport including support services……………………………………..</t>
  </si>
  <si>
    <t>All other transport including postal and courier activities…………………………..</t>
  </si>
  <si>
    <t>General sec education………………………………………………………..</t>
  </si>
  <si>
    <t>Higher and other education………………………………………………………………</t>
  </si>
  <si>
    <t>Primary education………………………………………………………………………..</t>
  </si>
  <si>
    <t>Air transport including support services……………………………………………………………….</t>
  </si>
  <si>
    <t>All other transport including postal and courier activities……………………………………………………………….</t>
  </si>
  <si>
    <t>Land transport………………………………………………………………………</t>
  </si>
  <si>
    <t>Pre-primary and Primary education………………………………………………………………………………………………..</t>
  </si>
  <si>
    <t>General sec education…………………………………………………………………………………………………</t>
  </si>
  <si>
    <t>Higher and other education…………………………………………………………………………..</t>
  </si>
  <si>
    <t>Per capita GDP (percentage change)</t>
  </si>
  <si>
    <t>Financial activities</t>
  </si>
  <si>
    <t>Insurance activities</t>
  </si>
  <si>
    <t>NPISH: Non-Profit Institutions Serving Households</t>
  </si>
  <si>
    <r>
      <t>2022</t>
    </r>
    <r>
      <rPr>
        <b/>
        <vertAlign val="superscript"/>
        <sz val="10"/>
        <color rgb="FF993300"/>
        <rFont val="Arial Narrow"/>
        <family val="2"/>
      </rPr>
      <t>+</t>
    </r>
  </si>
  <si>
    <t>KSh Million</t>
  </si>
  <si>
    <r>
      <t>2023</t>
    </r>
    <r>
      <rPr>
        <b/>
        <vertAlign val="superscript"/>
        <sz val="10"/>
        <color rgb="FF993300"/>
        <rFont val="Arial Narrow"/>
        <family val="2"/>
      </rPr>
      <t>+</t>
    </r>
  </si>
  <si>
    <t>2024*</t>
  </si>
  <si>
    <t>Table 2.4: Gross Domestic Product by Activity, 2015 - 2024</t>
  </si>
  <si>
    <t>Table 2.3: Contribution to Gross Domestic Product by Activity, 2015 - 2024</t>
  </si>
  <si>
    <t>Table 2.2: Gross Domestic Product by Activity, 2015 - 2024</t>
  </si>
  <si>
    <t>Table 2.1: Annual Production Accounts by Industry, 2015 - 2024</t>
  </si>
  <si>
    <t>Table 2.5:  Growth of Gross Domestic Product by Activity at Constant 2016 Prices, 2015 - 2024</t>
  </si>
  <si>
    <t>Table 2.6(a): Expenditure on the Gross Domestic Product, 2015 - 2024</t>
  </si>
  <si>
    <t>Table 2.7(b) Share of Gross Fixed Capital Formation, 2015 - 2024</t>
  </si>
  <si>
    <t>Table 2.7(c) Gross Fixed Capital Formation, 2015 - 2024</t>
  </si>
  <si>
    <t>Table 2.7(d) Growth in Gross Fixed Capital Formation, 2015 - 2024</t>
  </si>
  <si>
    <t>Table 2.8: Gross Domestic Product and Gross National Income, 2015 - 2024</t>
  </si>
  <si>
    <t>Table 2.9: National Disposable Income and Saving, 2015 - 2024</t>
  </si>
  <si>
    <t>Table 2.7(a) Gross Fixed Capital Formation, 2015 - 2024</t>
  </si>
  <si>
    <t>Table 2.1: Annual Production Accounts by Industry, 2015 - 2023 - Cont'.</t>
  </si>
  <si>
    <r>
      <t xml:space="preserve"> </t>
    </r>
    <r>
      <rPr>
        <i/>
        <vertAlign val="superscript"/>
        <sz val="8"/>
        <color indexed="8"/>
        <rFont val="Arial Narrow"/>
        <family val="2"/>
      </rPr>
      <t>+</t>
    </r>
    <r>
      <rPr>
        <i/>
        <sz val="8"/>
        <color indexed="8"/>
        <rFont val="Arial Narrow"/>
        <family val="2"/>
      </rPr>
      <t xml:space="preserve"> Revised</t>
    </r>
  </si>
  <si>
    <t>Table 2.6(d): Growth in Expenditure on the Gross Domestic Product at Constant 2016 Prices, 2014 - 2024</t>
  </si>
  <si>
    <t>Table 2.6(c): Expenditure on the Gross Domestic Product, 2014 - 2024</t>
  </si>
  <si>
    <t>Table 2.6(b): Expenditure on the Gross Domestic Product, 2014 - 2025</t>
  </si>
  <si>
    <t>2022+</t>
  </si>
  <si>
    <t>2023+</t>
  </si>
  <si>
    <t xml:space="preserve"> + Revised</t>
  </si>
  <si>
    <t>Discrepancy 1 ………………………………………..</t>
  </si>
  <si>
    <t>1 Difference between GDP production approach and GDP expenditure approach</t>
  </si>
  <si>
    <t>1 Discrepancy expressed as a percentage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</si>
</sst>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(* #,##0.00_);_(* \(#,##0.00\);_(* &quot;-&quot;??_);_(@_)"/>
    <numFmt numFmtId="165" formatCode="0.0"/>
    <numFmt numFmtId="166" formatCode="#,##0.0"/>
    <numFmt numFmtId="167" formatCode="#,##0_]"/>
    <numFmt numFmtId="168" formatCode="_(* #,##0.0_);_(* \(#,##0.0\);_(* &quot;-&quot;??_);_(@_)"/>
    <numFmt numFmtId="169" formatCode="_(* #,##0_);_(* \(#,##0\);_(* &quot;-&quot;??_);_(@_)"/>
    <numFmt numFmtId="170" formatCode="#,##0.0000000000000"/>
    <numFmt numFmtId="171" formatCode="@*."/>
    <numFmt numFmtId="172" formatCode="0.0%"/>
    <numFmt numFmtId="173" formatCode="0.000"/>
    <numFmt numFmtId="174" formatCode="#,##0.00000"/>
  </numFmts>
  <fonts count="6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vertAlign val="superscript"/>
      <sz val="10"/>
      <name val="Arial Narrow"/>
      <family val="2"/>
    </font>
    <font>
      <b/>
      <i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rgb="FF993300"/>
      <name val="Arial Narrow"/>
      <family val="2"/>
    </font>
    <font>
      <sz val="10"/>
      <color rgb="FF993300"/>
      <name val="Arial Narrow"/>
      <family val="2"/>
    </font>
    <font>
      <sz val="11"/>
      <color rgb="FF993300"/>
      <name val="Calibri"/>
      <family val="2"/>
      <scheme val="minor"/>
    </font>
    <font>
      <b/>
      <i/>
      <sz val="10"/>
      <color rgb="FF993300"/>
      <name val="Arial Narrow"/>
      <family val="2"/>
    </font>
    <font>
      <b/>
      <sz val="10"/>
      <color rgb="FF993300"/>
      <name val="Calibri"/>
      <family val="2"/>
    </font>
    <font>
      <sz val="9"/>
      <name val="Arial Narrow"/>
      <family val="2"/>
    </font>
    <font>
      <sz val="9"/>
      <color theme="1"/>
      <name val="Arial Narrow"/>
      <family val="2"/>
    </font>
    <font>
      <b/>
      <sz val="9"/>
      <color theme="0"/>
      <name val="Arial Narrow"/>
      <family val="2"/>
    </font>
    <font>
      <sz val="9"/>
      <color theme="0"/>
      <name val="Arial Narrow"/>
      <family val="2"/>
    </font>
    <font>
      <b/>
      <sz val="9"/>
      <color rgb="FF993300"/>
      <name val="Arial Narrow"/>
      <family val="2"/>
    </font>
    <font>
      <sz val="9"/>
      <color rgb="FF993300"/>
      <name val="Arial Narrow"/>
      <family val="2"/>
    </font>
    <font>
      <b/>
      <sz val="9"/>
      <name val="Arial Narrow"/>
      <family val="2"/>
    </font>
    <font>
      <b/>
      <sz val="9"/>
      <color theme="1"/>
      <name val="Arial Narrow"/>
      <family val="2"/>
    </font>
    <font>
      <b/>
      <vertAlign val="superscript"/>
      <sz val="10"/>
      <color rgb="FF9933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0"/>
      <name val="Arno Pro"/>
      <family val="1"/>
    </font>
    <font>
      <b/>
      <sz val="10"/>
      <name val="Arno Pro"/>
      <family val="1"/>
    </font>
    <font>
      <i/>
      <sz val="8"/>
      <color theme="1"/>
      <name val="Arial Narrow"/>
      <family val="2"/>
    </font>
    <font>
      <i/>
      <vertAlign val="superscript"/>
      <sz val="8"/>
      <color indexed="8"/>
      <name val="Arial Narrow"/>
      <family val="2"/>
    </font>
    <font>
      <i/>
      <sz val="8"/>
      <color indexed="8"/>
      <name val="Arial Narrow"/>
      <family val="2"/>
    </font>
    <font>
      <i/>
      <sz val="10"/>
      <color rgb="FF993300"/>
      <name val="Arial Narrow"/>
      <family val="2"/>
    </font>
    <font>
      <i/>
      <vertAlign val="superscript"/>
      <sz val="8"/>
      <name val="Arial Narrow"/>
      <family val="2"/>
    </font>
    <font>
      <i/>
      <sz val="9"/>
      <color rgb="FF99330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33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3300"/>
      </top>
      <bottom style="thin">
        <color rgb="FF993300"/>
      </bottom>
      <diagonal/>
    </border>
    <border>
      <left/>
      <right/>
      <top/>
      <bottom style="thin">
        <color rgb="FF993300"/>
      </bottom>
      <diagonal/>
    </border>
    <border>
      <left style="thin">
        <color rgb="FF993300"/>
      </left>
      <right/>
      <top/>
      <bottom/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/>
      <top style="thin">
        <color rgb="FF993300"/>
      </top>
      <bottom/>
      <diagonal/>
    </border>
    <border>
      <left/>
      <right style="thin">
        <color rgb="FF993300"/>
      </right>
      <top/>
      <bottom/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/>
      <right style="thin">
        <color indexed="64"/>
      </right>
      <top/>
      <bottom/>
      <diagonal/>
    </border>
  </borders>
  <cellStyleXfs count="396">
    <xf numFmtId="0" fontId="0" fillId="0" borderId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2" fillId="16" borderId="1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0" fontId="14" fillId="17" borderId="2" applyNumberFormat="0" applyAlignment="0" applyProtection="0"/>
    <xf numFmtId="164" fontId="2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11" fillId="16" borderId="8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379">
    <xf numFmtId="0" fontId="0" fillId="0" borderId="0" xfId="0"/>
    <xf numFmtId="3" fontId="2" fillId="0" borderId="0" xfId="0" applyNumberFormat="1" applyFont="1"/>
    <xf numFmtId="165" fontId="0" fillId="0" borderId="0" xfId="0" applyNumberFormat="1"/>
    <xf numFmtId="1" fontId="0" fillId="0" borderId="0" xfId="0" applyNumberFormat="1"/>
    <xf numFmtId="168" fontId="26" fillId="0" borderId="0" xfId="244" applyNumberFormat="1" applyFont="1"/>
    <xf numFmtId="169" fontId="26" fillId="0" borderId="0" xfId="244" applyNumberFormat="1" applyFont="1"/>
    <xf numFmtId="0" fontId="28" fillId="0" borderId="0" xfId="0" applyFont="1"/>
    <xf numFmtId="0" fontId="28" fillId="0" borderId="0" xfId="0" quotePrefix="1" applyFont="1"/>
    <xf numFmtId="0" fontId="29" fillId="0" borderId="0" xfId="0" applyFont="1" applyAlignment="1">
      <alignment horizontal="right"/>
    </xf>
    <xf numFmtId="166" fontId="22" fillId="0" borderId="10" xfId="341" applyNumberFormat="1" applyFont="1" applyBorder="1" applyAlignment="1">
      <alignment horizontal="right" vertical="center"/>
    </xf>
    <xf numFmtId="168" fontId="28" fillId="0" borderId="0" xfId="244" applyNumberFormat="1" applyFont="1"/>
    <xf numFmtId="169" fontId="28" fillId="0" borderId="0" xfId="244" applyNumberFormat="1" applyFont="1"/>
    <xf numFmtId="0" fontId="28" fillId="0" borderId="0" xfId="0" applyFont="1" applyAlignment="1">
      <alignment vertical="center"/>
    </xf>
    <xf numFmtId="167" fontId="22" fillId="0" borderId="0" xfId="334" applyNumberFormat="1" applyFont="1" applyAlignment="1">
      <alignment vertical="center"/>
    </xf>
    <xf numFmtId="0" fontId="19" fillId="0" borderId="0" xfId="335" applyFont="1" applyAlignment="1">
      <alignment vertical="center"/>
    </xf>
    <xf numFmtId="166" fontId="22" fillId="0" borderId="0" xfId="334" applyNumberFormat="1" applyFont="1" applyAlignment="1">
      <alignment vertical="center"/>
    </xf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vertical="center"/>
    </xf>
    <xf numFmtId="3" fontId="19" fillId="0" borderId="0" xfId="0" applyNumberFormat="1" applyFont="1"/>
    <xf numFmtId="0" fontId="19" fillId="0" borderId="0" xfId="329" applyFont="1"/>
    <xf numFmtId="0" fontId="19" fillId="0" borderId="0" xfId="327" applyFont="1"/>
    <xf numFmtId="166" fontId="19" fillId="0" borderId="0" xfId="326" applyNumberFormat="1" applyFont="1"/>
    <xf numFmtId="166" fontId="19" fillId="0" borderId="0" xfId="328" applyNumberFormat="1" applyFont="1"/>
    <xf numFmtId="165" fontId="28" fillId="0" borderId="0" xfId="0" applyNumberFormat="1" applyFont="1"/>
    <xf numFmtId="166" fontId="19" fillId="19" borderId="0" xfId="329" applyNumberFormat="1" applyFont="1" applyFill="1"/>
    <xf numFmtId="166" fontId="19" fillId="0" borderId="0" xfId="328" applyNumberFormat="1" applyFont="1" applyAlignment="1">
      <alignment horizontal="left"/>
    </xf>
    <xf numFmtId="166" fontId="19" fillId="0" borderId="0" xfId="328" applyNumberFormat="1" applyFont="1" applyAlignment="1">
      <alignment vertical="center"/>
    </xf>
    <xf numFmtId="166" fontId="19" fillId="0" borderId="0" xfId="329" applyNumberFormat="1" applyFont="1" applyAlignment="1">
      <alignment vertical="center"/>
    </xf>
    <xf numFmtId="166" fontId="19" fillId="19" borderId="0" xfId="327" applyNumberFormat="1" applyFont="1" applyFill="1"/>
    <xf numFmtId="166" fontId="19" fillId="0" borderId="0" xfId="327" applyNumberFormat="1" applyFont="1"/>
    <xf numFmtId="3" fontId="22" fillId="0" borderId="0" xfId="326" applyNumberFormat="1" applyFont="1"/>
    <xf numFmtId="3" fontId="19" fillId="0" borderId="0" xfId="327" applyNumberFormat="1" applyFont="1"/>
    <xf numFmtId="166" fontId="19" fillId="0" borderId="0" xfId="326" applyNumberFormat="1" applyFont="1" applyAlignment="1">
      <alignment horizontal="left"/>
    </xf>
    <xf numFmtId="3" fontId="28" fillId="0" borderId="0" xfId="0" applyNumberFormat="1" applyFont="1"/>
    <xf numFmtId="3" fontId="22" fillId="0" borderId="0" xfId="330" applyNumberFormat="1" applyFont="1" applyProtection="1">
      <protection locked="0"/>
    </xf>
    <xf numFmtId="3" fontId="22" fillId="0" borderId="0" xfId="331" applyNumberFormat="1" applyFont="1" applyAlignment="1" applyProtection="1">
      <alignment horizontal="right" vertical="center"/>
      <protection locked="0"/>
    </xf>
    <xf numFmtId="3" fontId="19" fillId="0" borderId="0" xfId="330" applyNumberFormat="1" applyFont="1" applyProtection="1">
      <protection locked="0"/>
    </xf>
    <xf numFmtId="3" fontId="19" fillId="0" borderId="0" xfId="331" applyNumberFormat="1" applyFont="1" applyProtection="1">
      <protection locked="0"/>
    </xf>
    <xf numFmtId="3" fontId="22" fillId="0" borderId="0" xfId="331" applyNumberFormat="1" applyFont="1" applyProtection="1">
      <protection locked="0"/>
    </xf>
    <xf numFmtId="3" fontId="19" fillId="0" borderId="0" xfId="330" applyNumberFormat="1" applyFont="1" applyAlignment="1" applyProtection="1">
      <alignment horizontal="left" indent="1"/>
      <protection locked="0"/>
    </xf>
    <xf numFmtId="0" fontId="19" fillId="0" borderId="0" xfId="336" applyFont="1"/>
    <xf numFmtId="169" fontId="29" fillId="0" borderId="0" xfId="244" applyNumberFormat="1" applyFont="1"/>
    <xf numFmtId="3" fontId="28" fillId="0" borderId="0" xfId="244" applyNumberFormat="1" applyFont="1"/>
    <xf numFmtId="3" fontId="24" fillId="0" borderId="0" xfId="348" applyNumberFormat="1" applyFont="1" applyAlignment="1">
      <alignment horizontal="left"/>
    </xf>
    <xf numFmtId="3" fontId="19" fillId="0" borderId="0" xfId="348" applyNumberFormat="1" applyFont="1"/>
    <xf numFmtId="166" fontId="19" fillId="0" borderId="0" xfId="348" applyNumberFormat="1" applyFont="1"/>
    <xf numFmtId="3" fontId="19" fillId="0" borderId="0" xfId="349" applyNumberFormat="1" applyFont="1"/>
    <xf numFmtId="3" fontId="19" fillId="0" borderId="0" xfId="346" applyNumberFormat="1" applyFont="1"/>
    <xf numFmtId="3" fontId="19" fillId="0" borderId="0" xfId="346" applyNumberFormat="1" applyFont="1" applyAlignment="1">
      <alignment horizontal="left"/>
    </xf>
    <xf numFmtId="0" fontId="19" fillId="0" borderId="0" xfId="338" applyFont="1"/>
    <xf numFmtId="3" fontId="19" fillId="0" borderId="0" xfId="347" applyNumberFormat="1" applyFont="1"/>
    <xf numFmtId="3" fontId="19" fillId="0" borderId="0" xfId="347" applyNumberFormat="1" applyFont="1" applyAlignment="1">
      <alignment horizontal="left"/>
    </xf>
    <xf numFmtId="3" fontId="19" fillId="0" borderId="0" xfId="332" applyNumberFormat="1" applyFont="1" applyProtection="1">
      <protection locked="0"/>
    </xf>
    <xf numFmtId="3" fontId="22" fillId="0" borderId="0" xfId="332" applyNumberFormat="1" applyFont="1" applyProtection="1">
      <protection locked="0"/>
    </xf>
    <xf numFmtId="3" fontId="25" fillId="0" borderId="0" xfId="332" applyNumberFormat="1" applyFont="1" applyProtection="1">
      <protection locked="0"/>
    </xf>
    <xf numFmtId="3" fontId="22" fillId="0" borderId="0" xfId="333" applyNumberFormat="1" applyFont="1" applyAlignment="1" applyProtection="1">
      <alignment horizontal="right"/>
      <protection locked="0"/>
    </xf>
    <xf numFmtId="3" fontId="22" fillId="0" borderId="0" xfId="333" applyNumberFormat="1" applyFont="1" applyProtection="1">
      <protection locked="0"/>
    </xf>
    <xf numFmtId="3" fontId="19" fillId="0" borderId="0" xfId="333" applyNumberFormat="1" applyFont="1" applyProtection="1">
      <protection locked="0"/>
    </xf>
    <xf numFmtId="3" fontId="19" fillId="0" borderId="0" xfId="332" applyNumberFormat="1" applyFont="1" applyAlignment="1" applyProtection="1">
      <alignment horizontal="left" indent="1"/>
      <protection locked="0"/>
    </xf>
    <xf numFmtId="3" fontId="19" fillId="0" borderId="0" xfId="333" quotePrefix="1" applyNumberFormat="1" applyFont="1" applyAlignment="1" applyProtection="1">
      <alignment horizontal="right"/>
      <protection locked="0"/>
    </xf>
    <xf numFmtId="0" fontId="22" fillId="20" borderId="0" xfId="344" applyFont="1" applyFill="1" applyAlignment="1">
      <alignment horizontal="right"/>
    </xf>
    <xf numFmtId="3" fontId="22" fillId="20" borderId="0" xfId="331" applyNumberFormat="1" applyFont="1" applyFill="1" applyAlignment="1" applyProtection="1">
      <alignment horizontal="right" vertical="center"/>
      <protection locked="0"/>
    </xf>
    <xf numFmtId="3" fontId="19" fillId="20" borderId="0" xfId="331" applyNumberFormat="1" applyFont="1" applyFill="1" applyProtection="1">
      <protection locked="0"/>
    </xf>
    <xf numFmtId="3" fontId="22" fillId="20" borderId="0" xfId="331" applyNumberFormat="1" applyFont="1" applyFill="1" applyProtection="1">
      <protection locked="0"/>
    </xf>
    <xf numFmtId="3" fontId="22" fillId="20" borderId="0" xfId="331" applyNumberFormat="1" applyFont="1" applyFill="1" applyAlignment="1" applyProtection="1">
      <alignment vertical="center"/>
      <protection locked="0"/>
    </xf>
    <xf numFmtId="3" fontId="22" fillId="20" borderId="0" xfId="331" applyNumberFormat="1" applyFont="1" applyFill="1" applyAlignment="1" applyProtection="1">
      <alignment horizontal="right"/>
      <protection locked="0"/>
    </xf>
    <xf numFmtId="0" fontId="0" fillId="19" borderId="0" xfId="0" applyFill="1"/>
    <xf numFmtId="166" fontId="22" fillId="20" borderId="0" xfId="341" applyNumberFormat="1" applyFont="1" applyFill="1" applyAlignment="1">
      <alignment horizontal="right" vertical="center"/>
    </xf>
    <xf numFmtId="170" fontId="0" fillId="0" borderId="0" xfId="0" applyNumberFormat="1"/>
    <xf numFmtId="3" fontId="22" fillId="0" borderId="0" xfId="330" applyNumberFormat="1" applyFont="1" applyAlignment="1" applyProtection="1">
      <alignment vertical="center"/>
      <protection locked="0"/>
    </xf>
    <xf numFmtId="3" fontId="22" fillId="0" borderId="0" xfId="331" applyNumberFormat="1" applyFont="1" applyAlignment="1" applyProtection="1">
      <alignment vertical="center"/>
      <protection locked="0"/>
    </xf>
    <xf numFmtId="3" fontId="22" fillId="0" borderId="0" xfId="331" applyNumberFormat="1" applyFont="1" applyAlignment="1" applyProtection="1">
      <alignment horizontal="right"/>
      <protection locked="0"/>
    </xf>
    <xf numFmtId="169" fontId="28" fillId="0" borderId="0" xfId="244" applyNumberFormat="1" applyFont="1" applyFill="1"/>
    <xf numFmtId="168" fontId="28" fillId="0" borderId="0" xfId="244" applyNumberFormat="1" applyFont="1" applyFill="1"/>
    <xf numFmtId="3" fontId="19" fillId="0" borderId="0" xfId="331" applyNumberFormat="1" applyFont="1" applyAlignment="1" applyProtection="1">
      <alignment horizontal="right" vertical="center"/>
      <protection locked="0"/>
    </xf>
    <xf numFmtId="168" fontId="19" fillId="0" borderId="0" xfId="337" applyNumberFormat="1" applyFont="1"/>
    <xf numFmtId="166" fontId="22" fillId="0" borderId="0" xfId="326" applyNumberFormat="1" applyFont="1"/>
    <xf numFmtId="3" fontId="30" fillId="0" borderId="0" xfId="0" applyNumberFormat="1" applyFont="1"/>
    <xf numFmtId="0" fontId="32" fillId="21" borderId="0" xfId="340" applyFont="1" applyFill="1"/>
    <xf numFmtId="0" fontId="33" fillId="21" borderId="0" xfId="340" applyFont="1" applyFill="1"/>
    <xf numFmtId="3" fontId="34" fillId="0" borderId="0" xfId="332" applyNumberFormat="1" applyFont="1" applyProtection="1">
      <protection locked="0"/>
    </xf>
    <xf numFmtId="0" fontId="35" fillId="0" borderId="0" xfId="0" applyFont="1"/>
    <xf numFmtId="3" fontId="34" fillId="0" borderId="0" xfId="345" applyNumberFormat="1" applyFont="1" applyAlignment="1">
      <alignment horizontal="right" vertical="center"/>
    </xf>
    <xf numFmtId="0" fontId="34" fillId="0" borderId="0" xfId="0" applyFont="1"/>
    <xf numFmtId="3" fontId="34" fillId="0" borderId="0" xfId="346" applyNumberFormat="1" applyFont="1"/>
    <xf numFmtId="3" fontId="35" fillId="0" borderId="0" xfId="346" applyNumberFormat="1" applyFont="1"/>
    <xf numFmtId="3" fontId="34" fillId="0" borderId="0" xfId="346" applyNumberFormat="1" applyFont="1" applyAlignment="1">
      <alignment horizontal="right" vertical="center"/>
    </xf>
    <xf numFmtId="3" fontId="34" fillId="0" borderId="0" xfId="330" applyNumberFormat="1" applyFont="1" applyProtection="1">
      <protection locked="0"/>
    </xf>
    <xf numFmtId="3" fontId="34" fillId="0" borderId="0" xfId="331" applyNumberFormat="1" applyFont="1" applyAlignment="1" applyProtection="1">
      <alignment horizontal="right" vertical="center"/>
      <protection locked="0"/>
    </xf>
    <xf numFmtId="0" fontId="36" fillId="0" borderId="0" xfId="0" applyFont="1"/>
    <xf numFmtId="3" fontId="35" fillId="0" borderId="0" xfId="330" applyNumberFormat="1" applyFont="1" applyProtection="1">
      <protection locked="0"/>
    </xf>
    <xf numFmtId="3" fontId="35" fillId="0" borderId="0" xfId="331" applyNumberFormat="1" applyFont="1" applyProtection="1">
      <protection locked="0"/>
    </xf>
    <xf numFmtId="3" fontId="34" fillId="0" borderId="0" xfId="331" applyNumberFormat="1" applyFont="1" applyAlignment="1" applyProtection="1">
      <alignment horizontal="right"/>
      <protection locked="0"/>
    </xf>
    <xf numFmtId="0" fontId="34" fillId="0" borderId="0" xfId="344" applyFont="1" applyAlignment="1">
      <alignment horizontal="right"/>
    </xf>
    <xf numFmtId="3" fontId="35" fillId="0" borderId="0" xfId="339" applyNumberFormat="1" applyFont="1"/>
    <xf numFmtId="3" fontId="35" fillId="0" borderId="0" xfId="344" quotePrefix="1" applyNumberFormat="1" applyFont="1" applyAlignment="1">
      <alignment horizontal="right"/>
    </xf>
    <xf numFmtId="0" fontId="35" fillId="0" borderId="0" xfId="344" applyFont="1"/>
    <xf numFmtId="0" fontId="34" fillId="0" borderId="0" xfId="0" applyFont="1" applyAlignment="1">
      <alignment horizontal="right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67" fontId="34" fillId="0" borderId="0" xfId="334" applyNumberFormat="1" applyFont="1" applyAlignment="1">
      <alignment vertical="center"/>
    </xf>
    <xf numFmtId="0" fontId="35" fillId="0" borderId="0" xfId="334" applyFont="1" applyAlignment="1">
      <alignment vertical="center"/>
    </xf>
    <xf numFmtId="0" fontId="34" fillId="0" borderId="0" xfId="0" applyFont="1" applyAlignment="1">
      <alignment horizontal="right" vertical="center"/>
    </xf>
    <xf numFmtId="1" fontId="34" fillId="0" borderId="11" xfId="343" applyNumberFormat="1" applyFont="1" applyBorder="1" applyAlignment="1">
      <alignment horizontal="right" vertical="center"/>
    </xf>
    <xf numFmtId="3" fontId="19" fillId="0" borderId="15" xfId="0" applyNumberFormat="1" applyFont="1" applyBorder="1"/>
    <xf numFmtId="3" fontId="22" fillId="0" borderId="12" xfId="0" applyNumberFormat="1" applyFont="1" applyBorder="1" applyAlignment="1">
      <alignment vertical="center"/>
    </xf>
    <xf numFmtId="3" fontId="22" fillId="0" borderId="15" xfId="0" applyNumberFormat="1" applyFont="1" applyBorder="1" applyAlignment="1">
      <alignment vertical="center"/>
    </xf>
    <xf numFmtId="165" fontId="28" fillId="0" borderId="15" xfId="0" applyNumberFormat="1" applyFont="1" applyBorder="1"/>
    <xf numFmtId="165" fontId="28" fillId="0" borderId="12" xfId="0" applyNumberFormat="1" applyFont="1" applyBorder="1"/>
    <xf numFmtId="165" fontId="28" fillId="0" borderId="13" xfId="0" applyNumberFormat="1" applyFont="1" applyBorder="1"/>
    <xf numFmtId="0" fontId="35" fillId="0" borderId="11" xfId="0" applyFont="1" applyBorder="1"/>
    <xf numFmtId="3" fontId="19" fillId="0" borderId="12" xfId="330" applyNumberFormat="1" applyFont="1" applyBorder="1" applyProtection="1">
      <protection locked="0"/>
    </xf>
    <xf numFmtId="166" fontId="28" fillId="0" borderId="12" xfId="0" applyNumberFormat="1" applyFont="1" applyBorder="1"/>
    <xf numFmtId="3" fontId="22" fillId="0" borderId="13" xfId="331" applyNumberFormat="1" applyFont="1" applyBorder="1" applyAlignment="1" applyProtection="1">
      <alignment horizontal="right" vertical="center"/>
      <protection locked="0"/>
    </xf>
    <xf numFmtId="3" fontId="19" fillId="0" borderId="13" xfId="331" applyNumberFormat="1" applyFont="1" applyBorder="1" applyProtection="1">
      <protection locked="0"/>
    </xf>
    <xf numFmtId="3" fontId="22" fillId="0" borderId="13" xfId="331" applyNumberFormat="1" applyFont="1" applyBorder="1" applyProtection="1">
      <protection locked="0"/>
    </xf>
    <xf numFmtId="3" fontId="22" fillId="0" borderId="13" xfId="331" applyNumberFormat="1" applyFont="1" applyBorder="1" applyAlignment="1" applyProtection="1">
      <alignment vertical="center"/>
      <protection locked="0"/>
    </xf>
    <xf numFmtId="3" fontId="22" fillId="0" borderId="13" xfId="331" applyNumberFormat="1" applyFont="1" applyBorder="1" applyAlignment="1" applyProtection="1">
      <alignment horizontal="right"/>
      <protection locked="0"/>
    </xf>
    <xf numFmtId="166" fontId="28" fillId="0" borderId="14" xfId="0" applyNumberFormat="1" applyFont="1" applyBorder="1"/>
    <xf numFmtId="3" fontId="34" fillId="0" borderId="0" xfId="330" applyNumberFormat="1" applyFont="1" applyAlignment="1" applyProtection="1">
      <alignment vertical="center"/>
      <protection locked="0"/>
    </xf>
    <xf numFmtId="3" fontId="34" fillId="0" borderId="0" xfId="331" applyNumberFormat="1" applyFont="1" applyAlignment="1" applyProtection="1">
      <alignment vertical="center"/>
      <protection locked="0"/>
    </xf>
    <xf numFmtId="3" fontId="34" fillId="0" borderId="11" xfId="330" applyNumberFormat="1" applyFont="1" applyBorder="1" applyProtection="1">
      <protection locked="0"/>
    </xf>
    <xf numFmtId="3" fontId="24" fillId="0" borderId="0" xfId="349" applyNumberFormat="1" applyFont="1" applyAlignment="1">
      <alignment horizontal="left" vertical="top"/>
    </xf>
    <xf numFmtId="3" fontId="22" fillId="0" borderId="12" xfId="330" applyNumberFormat="1" applyFont="1" applyBorder="1" applyProtection="1">
      <protection locked="0"/>
    </xf>
    <xf numFmtId="169" fontId="29" fillId="0" borderId="12" xfId="244" applyNumberFormat="1" applyFont="1" applyBorder="1"/>
    <xf numFmtId="165" fontId="29" fillId="0" borderId="12" xfId="0" applyNumberFormat="1" applyFont="1" applyBorder="1"/>
    <xf numFmtId="169" fontId="28" fillId="0" borderId="13" xfId="244" applyNumberFormat="1" applyFont="1" applyBorder="1"/>
    <xf numFmtId="3" fontId="28" fillId="0" borderId="13" xfId="244" applyNumberFormat="1" applyFont="1" applyBorder="1"/>
    <xf numFmtId="169" fontId="29" fillId="0" borderId="13" xfId="244" applyNumberFormat="1" applyFont="1" applyBorder="1"/>
    <xf numFmtId="169" fontId="29" fillId="0" borderId="14" xfId="244" applyNumberFormat="1" applyFont="1" applyBorder="1"/>
    <xf numFmtId="165" fontId="29" fillId="0" borderId="14" xfId="0" applyNumberFormat="1" applyFont="1" applyBorder="1"/>
    <xf numFmtId="3" fontId="34" fillId="0" borderId="0" xfId="347" applyNumberFormat="1" applyFont="1"/>
    <xf numFmtId="166" fontId="35" fillId="0" borderId="0" xfId="347" applyNumberFormat="1" applyFont="1"/>
    <xf numFmtId="3" fontId="35" fillId="0" borderId="0" xfId="347" applyNumberFormat="1" applyFont="1"/>
    <xf numFmtId="166" fontId="34" fillId="0" borderId="11" xfId="347" applyNumberFormat="1" applyFont="1" applyBorder="1" applyAlignment="1">
      <alignment vertical="center"/>
    </xf>
    <xf numFmtId="166" fontId="34" fillId="0" borderId="11" xfId="346" applyNumberFormat="1" applyFont="1" applyBorder="1" applyAlignment="1">
      <alignment vertical="center"/>
    </xf>
    <xf numFmtId="3" fontId="22" fillId="0" borderId="12" xfId="346" applyNumberFormat="1" applyFont="1" applyBorder="1" applyAlignment="1">
      <alignment vertical="center"/>
    </xf>
    <xf numFmtId="166" fontId="22" fillId="0" borderId="12" xfId="346" applyNumberFormat="1" applyFont="1" applyBorder="1" applyAlignment="1">
      <alignment vertical="center"/>
    </xf>
    <xf numFmtId="168" fontId="29" fillId="0" borderId="12" xfId="244" applyNumberFormat="1" applyFont="1" applyBorder="1"/>
    <xf numFmtId="168" fontId="29" fillId="0" borderId="12" xfId="244" applyNumberFormat="1" applyFont="1" applyFill="1" applyBorder="1"/>
    <xf numFmtId="3" fontId="22" fillId="0" borderId="12" xfId="347" applyNumberFormat="1" applyFont="1" applyBorder="1" applyAlignment="1">
      <alignment vertical="center"/>
    </xf>
    <xf numFmtId="168" fontId="28" fillId="0" borderId="13" xfId="244" applyNumberFormat="1" applyFont="1" applyBorder="1"/>
    <xf numFmtId="168" fontId="29" fillId="0" borderId="14" xfId="244" applyNumberFormat="1" applyFont="1" applyBorder="1"/>
    <xf numFmtId="168" fontId="28" fillId="0" borderId="13" xfId="244" applyNumberFormat="1" applyFont="1" applyFill="1" applyBorder="1"/>
    <xf numFmtId="165" fontId="28" fillId="0" borderId="13" xfId="244" applyNumberFormat="1" applyFont="1" applyBorder="1"/>
    <xf numFmtId="166" fontId="34" fillId="0" borderId="0" xfId="347" applyNumberFormat="1" applyFont="1" applyAlignment="1">
      <alignment horizontal="right"/>
    </xf>
    <xf numFmtId="3" fontId="34" fillId="0" borderId="0" xfId="346" applyNumberFormat="1" applyFont="1" applyAlignment="1">
      <alignment horizontal="right"/>
    </xf>
    <xf numFmtId="3" fontId="34" fillId="19" borderId="0" xfId="0" applyNumberFormat="1" applyFont="1" applyFill="1"/>
    <xf numFmtId="3" fontId="35" fillId="0" borderId="0" xfId="0" applyNumberFormat="1" applyFont="1" applyProtection="1">
      <protection locked="0"/>
    </xf>
    <xf numFmtId="3" fontId="34" fillId="0" borderId="0" xfId="0" applyNumberFormat="1" applyFont="1" applyAlignment="1">
      <alignment horizontal="right" vertical="center"/>
    </xf>
    <xf numFmtId="3" fontId="37" fillId="0" borderId="11" xfId="0" applyNumberFormat="1" applyFont="1" applyBorder="1" applyAlignment="1" applyProtection="1">
      <alignment vertical="center"/>
      <protection locked="0"/>
    </xf>
    <xf numFmtId="3" fontId="22" fillId="0" borderId="0" xfId="0" applyNumberFormat="1" applyFont="1" applyProtection="1">
      <protection locked="0"/>
    </xf>
    <xf numFmtId="3" fontId="22" fillId="0" borderId="13" xfId="0" applyNumberFormat="1" applyFont="1" applyBorder="1" applyAlignment="1" applyProtection="1">
      <alignment horizontal="right" vertical="center"/>
      <protection locked="0"/>
    </xf>
    <xf numFmtId="3" fontId="22" fillId="0" borderId="0" xfId="0" applyNumberFormat="1" applyFont="1" applyAlignment="1" applyProtection="1">
      <alignment horizontal="right" vertical="center"/>
      <protection locked="0"/>
    </xf>
    <xf numFmtId="3" fontId="19" fillId="0" borderId="0" xfId="0" applyNumberFormat="1" applyFont="1" applyProtection="1">
      <protection locked="0"/>
    </xf>
    <xf numFmtId="3" fontId="19" fillId="0" borderId="13" xfId="0" applyNumberFormat="1" applyFont="1" applyBorder="1" applyProtection="1">
      <protection locked="0"/>
    </xf>
    <xf numFmtId="3" fontId="22" fillId="0" borderId="13" xfId="0" applyNumberFormat="1" applyFont="1" applyBorder="1" applyProtection="1">
      <protection locked="0"/>
    </xf>
    <xf numFmtId="3" fontId="19" fillId="0" borderId="0" xfId="0" applyNumberFormat="1" applyFont="1" applyAlignment="1" applyProtection="1">
      <alignment horizontal="left" indent="1"/>
      <protection locked="0"/>
    </xf>
    <xf numFmtId="3" fontId="22" fillId="0" borderId="13" xfId="0" applyNumberFormat="1" applyFont="1" applyBorder="1" applyAlignment="1" applyProtection="1">
      <alignment vertical="center"/>
      <protection locked="0"/>
    </xf>
    <xf numFmtId="3" fontId="22" fillId="0" borderId="0" xfId="0" applyNumberFormat="1" applyFont="1" applyAlignment="1" applyProtection="1">
      <alignment vertical="center"/>
      <protection locked="0"/>
    </xf>
    <xf numFmtId="3" fontId="19" fillId="0" borderId="0" xfId="0" applyNumberFormat="1" applyFont="1" applyAlignment="1" applyProtection="1">
      <alignment vertical="center"/>
      <protection locked="0"/>
    </xf>
    <xf numFmtId="3" fontId="19" fillId="0" borderId="12" xfId="0" applyNumberFormat="1" applyFont="1" applyBorder="1" applyProtection="1">
      <protection locked="0"/>
    </xf>
    <xf numFmtId="166" fontId="19" fillId="0" borderId="14" xfId="0" applyNumberFormat="1" applyFont="1" applyBorder="1" applyProtection="1">
      <protection locked="0"/>
    </xf>
    <xf numFmtId="166" fontId="19" fillId="0" borderId="12" xfId="0" applyNumberFormat="1" applyFont="1" applyBorder="1" applyProtection="1">
      <protection locked="0"/>
    </xf>
    <xf numFmtId="3" fontId="34" fillId="0" borderId="11" xfId="332" applyNumberFormat="1" applyFont="1" applyBorder="1" applyAlignment="1" applyProtection="1">
      <alignment vertical="center"/>
      <protection locked="0"/>
    </xf>
    <xf numFmtId="3" fontId="22" fillId="0" borderId="12" xfId="332" applyNumberFormat="1" applyFont="1" applyBorder="1" applyAlignment="1" applyProtection="1">
      <alignment vertical="center"/>
      <protection locked="0"/>
    </xf>
    <xf numFmtId="3" fontId="22" fillId="0" borderId="12" xfId="333" applyNumberFormat="1" applyFont="1" applyBorder="1" applyAlignment="1" applyProtection="1">
      <alignment vertical="center"/>
      <protection locked="0"/>
    </xf>
    <xf numFmtId="3" fontId="22" fillId="0" borderId="13" xfId="333" applyNumberFormat="1" applyFont="1" applyBorder="1" applyAlignment="1" applyProtection="1">
      <alignment horizontal="right"/>
      <protection locked="0"/>
    </xf>
    <xf numFmtId="3" fontId="22" fillId="0" borderId="13" xfId="333" applyNumberFormat="1" applyFont="1" applyBorder="1" applyProtection="1">
      <protection locked="0"/>
    </xf>
    <xf numFmtId="3" fontId="19" fillId="0" borderId="13" xfId="333" applyNumberFormat="1" applyFont="1" applyBorder="1" applyProtection="1">
      <protection locked="0"/>
    </xf>
    <xf numFmtId="3" fontId="19" fillId="0" borderId="13" xfId="333" quotePrefix="1" applyNumberFormat="1" applyFont="1" applyBorder="1" applyAlignment="1" applyProtection="1">
      <alignment horizontal="right"/>
      <protection locked="0"/>
    </xf>
    <xf numFmtId="3" fontId="22" fillId="0" borderId="14" xfId="333" applyNumberFormat="1" applyFont="1" applyBorder="1" applyAlignment="1" applyProtection="1">
      <alignment vertical="center"/>
      <protection locked="0"/>
    </xf>
    <xf numFmtId="166" fontId="30" fillId="0" borderId="0" xfId="0" applyNumberFormat="1" applyFont="1"/>
    <xf numFmtId="166" fontId="22" fillId="0" borderId="16" xfId="334" applyNumberFormat="1" applyFont="1" applyBorder="1" applyAlignment="1">
      <alignment vertical="center"/>
    </xf>
    <xf numFmtId="166" fontId="19" fillId="0" borderId="0" xfId="0" applyNumberFormat="1" applyFont="1"/>
    <xf numFmtId="166" fontId="19" fillId="18" borderId="15" xfId="0" applyNumberFormat="1" applyFont="1" applyFill="1" applyBorder="1"/>
    <xf numFmtId="166" fontId="19" fillId="0" borderId="0" xfId="0" applyNumberFormat="1" applyFont="1" applyAlignment="1">
      <alignment vertical="center"/>
    </xf>
    <xf numFmtId="167" fontId="34" fillId="0" borderId="18" xfId="334" applyNumberFormat="1" applyFont="1" applyBorder="1" applyAlignment="1">
      <alignment vertical="center"/>
    </xf>
    <xf numFmtId="3" fontId="22" fillId="0" borderId="18" xfId="342" applyNumberFormat="1" applyFont="1" applyBorder="1" applyAlignment="1">
      <alignment vertical="center"/>
    </xf>
    <xf numFmtId="169" fontId="28" fillId="0" borderId="0" xfId="0" applyNumberFormat="1" applyFont="1" applyAlignment="1">
      <alignment vertical="center"/>
    </xf>
    <xf numFmtId="166" fontId="22" fillId="0" borderId="12" xfId="0" applyNumberFormat="1" applyFont="1" applyBorder="1" applyAlignment="1">
      <alignment vertical="center"/>
    </xf>
    <xf numFmtId="0" fontId="19" fillId="0" borderId="15" xfId="329" applyFont="1" applyBorder="1"/>
    <xf numFmtId="166" fontId="19" fillId="19" borderId="15" xfId="329" applyNumberFormat="1" applyFont="1" applyFill="1" applyBorder="1"/>
    <xf numFmtId="171" fontId="19" fillId="0" borderId="0" xfId="340" applyNumberFormat="1" applyFont="1"/>
    <xf numFmtId="171" fontId="19" fillId="0" borderId="0" xfId="340" applyNumberFormat="1" applyFont="1" applyAlignment="1">
      <alignment horizontal="left" indent="1"/>
    </xf>
    <xf numFmtId="171" fontId="22" fillId="0" borderId="15" xfId="340" applyNumberFormat="1" applyFont="1" applyBorder="1"/>
    <xf numFmtId="171" fontId="22" fillId="0" borderId="15" xfId="340" applyNumberFormat="1" applyFont="1" applyBorder="1" applyAlignment="1">
      <alignment vertical="center"/>
    </xf>
    <xf numFmtId="171" fontId="29" fillId="0" borderId="12" xfId="0" applyNumberFormat="1" applyFont="1" applyBorder="1"/>
    <xf numFmtId="171" fontId="19" fillId="0" borderId="0" xfId="334" applyNumberFormat="1" applyFont="1" applyAlignment="1">
      <alignment vertical="center"/>
    </xf>
    <xf numFmtId="171" fontId="19" fillId="0" borderId="16" xfId="334" applyNumberFormat="1" applyFont="1" applyBorder="1" applyAlignment="1">
      <alignment vertical="center"/>
    </xf>
    <xf numFmtId="171" fontId="19" fillId="0" borderId="17" xfId="334" applyNumberFormat="1" applyFont="1" applyBorder="1" applyAlignment="1">
      <alignment vertical="center"/>
    </xf>
    <xf numFmtId="3" fontId="28" fillId="0" borderId="0" xfId="244" applyNumberFormat="1" applyFont="1" applyBorder="1" applyAlignment="1">
      <alignment vertical="center"/>
    </xf>
    <xf numFmtId="3" fontId="19" fillId="0" borderId="0" xfId="244" applyNumberFormat="1" applyFont="1" applyAlignment="1">
      <alignment vertical="center"/>
    </xf>
    <xf numFmtId="3" fontId="19" fillId="0" borderId="0" xfId="244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3" fontId="35" fillId="0" borderId="0" xfId="0" applyNumberFormat="1" applyFont="1" applyAlignment="1">
      <alignment vertical="center"/>
    </xf>
    <xf numFmtId="3" fontId="35" fillId="0" borderId="0" xfId="334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171" fontId="19" fillId="0" borderId="16" xfId="342" applyNumberFormat="1" applyFont="1" applyBorder="1"/>
    <xf numFmtId="171" fontId="19" fillId="0" borderId="16" xfId="342" applyNumberFormat="1" applyFont="1" applyBorder="1" applyAlignment="1">
      <alignment horizontal="left" indent="1"/>
    </xf>
    <xf numFmtId="171" fontId="19" fillId="0" borderId="16" xfId="342" applyNumberFormat="1" applyFont="1" applyBorder="1" applyAlignment="1">
      <alignment horizontal="left"/>
    </xf>
    <xf numFmtId="171" fontId="19" fillId="0" borderId="19" xfId="342" applyNumberFormat="1" applyFont="1" applyBorder="1"/>
    <xf numFmtId="171" fontId="22" fillId="0" borderId="17" xfId="342" applyNumberFormat="1" applyFont="1" applyBorder="1" applyAlignment="1">
      <alignment vertical="center"/>
    </xf>
    <xf numFmtId="3" fontId="0" fillId="0" borderId="0" xfId="0" applyNumberFormat="1"/>
    <xf numFmtId="169" fontId="33" fillId="21" borderId="0" xfId="244" applyNumberFormat="1" applyFont="1" applyFill="1"/>
    <xf numFmtId="169" fontId="34" fillId="0" borderId="0" xfId="244" applyNumberFormat="1" applyFont="1"/>
    <xf numFmtId="169" fontId="22" fillId="0" borderId="0" xfId="244" applyNumberFormat="1" applyFont="1" applyBorder="1" applyAlignment="1">
      <alignment vertical="center"/>
    </xf>
    <xf numFmtId="0" fontId="19" fillId="0" borderId="16" xfId="342" applyFont="1" applyBorder="1" applyAlignment="1">
      <alignment vertical="center" wrapText="1"/>
    </xf>
    <xf numFmtId="3" fontId="34" fillId="19" borderId="0" xfId="330" applyNumberFormat="1" applyFont="1" applyFill="1" applyProtection="1">
      <protection locked="0"/>
    </xf>
    <xf numFmtId="3" fontId="34" fillId="19" borderId="0" xfId="331" applyNumberFormat="1" applyFont="1" applyFill="1" applyAlignment="1" applyProtection="1">
      <alignment horizontal="right" vertical="center"/>
      <protection locked="0"/>
    </xf>
    <xf numFmtId="0" fontId="36" fillId="19" borderId="0" xfId="0" applyFont="1" applyFill="1"/>
    <xf numFmtId="3" fontId="35" fillId="19" borderId="0" xfId="330" applyNumberFormat="1" applyFont="1" applyFill="1" applyProtection="1">
      <protection locked="0"/>
    </xf>
    <xf numFmtId="3" fontId="35" fillId="19" borderId="0" xfId="331" applyNumberFormat="1" applyFont="1" applyFill="1" applyProtection="1">
      <protection locked="0"/>
    </xf>
    <xf numFmtId="0" fontId="35" fillId="19" borderId="0" xfId="0" applyFont="1" applyFill="1"/>
    <xf numFmtId="3" fontId="34" fillId="19" borderId="0" xfId="331" applyNumberFormat="1" applyFont="1" applyFill="1" applyAlignment="1" applyProtection="1">
      <alignment horizontal="right"/>
      <protection locked="0"/>
    </xf>
    <xf numFmtId="3" fontId="34" fillId="19" borderId="18" xfId="330" applyNumberFormat="1" applyFont="1" applyFill="1" applyBorder="1" applyProtection="1">
      <protection locked="0"/>
    </xf>
    <xf numFmtId="171" fontId="19" fillId="19" borderId="16" xfId="330" applyNumberFormat="1" applyFont="1" applyFill="1" applyBorder="1" applyProtection="1">
      <protection locked="0"/>
    </xf>
    <xf numFmtId="3" fontId="19" fillId="19" borderId="0" xfId="331" applyNumberFormat="1" applyFont="1" applyFill="1" applyAlignment="1" applyProtection="1">
      <alignment horizontal="right" vertical="center"/>
      <protection locked="0"/>
    </xf>
    <xf numFmtId="171" fontId="22" fillId="19" borderId="16" xfId="330" applyNumberFormat="1" applyFont="1" applyFill="1" applyBorder="1" applyProtection="1">
      <protection locked="0"/>
    </xf>
    <xf numFmtId="3" fontId="0" fillId="19" borderId="0" xfId="0" applyNumberFormat="1" applyFill="1"/>
    <xf numFmtId="171" fontId="19" fillId="19" borderId="16" xfId="330" applyNumberFormat="1" applyFont="1" applyFill="1" applyBorder="1" applyAlignment="1" applyProtection="1">
      <alignment horizontal="left"/>
      <protection locked="0"/>
    </xf>
    <xf numFmtId="49" fontId="19" fillId="19" borderId="16" xfId="330" applyNumberFormat="1" applyFont="1" applyFill="1" applyBorder="1" applyAlignment="1" applyProtection="1">
      <alignment horizontal="left"/>
      <protection locked="0"/>
    </xf>
    <xf numFmtId="171" fontId="22" fillId="19" borderId="17" xfId="330" applyNumberFormat="1" applyFont="1" applyFill="1" applyBorder="1" applyProtection="1">
      <protection locked="0"/>
    </xf>
    <xf numFmtId="3" fontId="29" fillId="19" borderId="12" xfId="244" applyNumberFormat="1" applyFont="1" applyFill="1" applyBorder="1"/>
    <xf numFmtId="3" fontId="19" fillId="19" borderId="0" xfId="348" applyNumberFormat="1" applyFont="1" applyFill="1"/>
    <xf numFmtId="0" fontId="28" fillId="19" borderId="0" xfId="0" applyFont="1" applyFill="1"/>
    <xf numFmtId="0" fontId="19" fillId="19" borderId="0" xfId="336" applyFont="1" applyFill="1"/>
    <xf numFmtId="166" fontId="19" fillId="19" borderId="0" xfId="348" applyNumberFormat="1" applyFont="1" applyFill="1"/>
    <xf numFmtId="3" fontId="19" fillId="19" borderId="0" xfId="331" applyNumberFormat="1" applyFont="1" applyFill="1" applyProtection="1">
      <protection locked="0"/>
    </xf>
    <xf numFmtId="0" fontId="28" fillId="19" borderId="0" xfId="0" quotePrefix="1" applyFont="1" applyFill="1"/>
    <xf numFmtId="3" fontId="34" fillId="19" borderId="0" xfId="330" applyNumberFormat="1" applyFont="1" applyFill="1" applyAlignment="1" applyProtection="1">
      <alignment vertical="center"/>
      <protection locked="0"/>
    </xf>
    <xf numFmtId="3" fontId="34" fillId="19" borderId="0" xfId="331" applyNumberFormat="1" applyFont="1" applyFill="1" applyAlignment="1" applyProtection="1">
      <alignment vertical="center"/>
      <protection locked="0"/>
    </xf>
    <xf numFmtId="171" fontId="19" fillId="19" borderId="0" xfId="330" applyNumberFormat="1" applyFont="1" applyFill="1" applyProtection="1">
      <protection locked="0"/>
    </xf>
    <xf numFmtId="171" fontId="19" fillId="19" borderId="20" xfId="330" applyNumberFormat="1" applyFont="1" applyFill="1" applyBorder="1" applyProtection="1">
      <protection locked="0"/>
    </xf>
    <xf numFmtId="165" fontId="28" fillId="19" borderId="0" xfId="0" applyNumberFormat="1" applyFont="1" applyFill="1"/>
    <xf numFmtId="165" fontId="27" fillId="19" borderId="0" xfId="0" applyNumberFormat="1" applyFont="1" applyFill="1"/>
    <xf numFmtId="171" fontId="22" fillId="19" borderId="12" xfId="330" applyNumberFormat="1" applyFont="1" applyFill="1" applyBorder="1" applyProtection="1">
      <protection locked="0"/>
    </xf>
    <xf numFmtId="165" fontId="29" fillId="19" borderId="12" xfId="0" applyNumberFormat="1" applyFont="1" applyFill="1" applyBorder="1"/>
    <xf numFmtId="3" fontId="19" fillId="19" borderId="0" xfId="349" applyNumberFormat="1" applyFont="1" applyFill="1"/>
    <xf numFmtId="171" fontId="19" fillId="19" borderId="19" xfId="330" applyNumberFormat="1" applyFont="1" applyFill="1" applyBorder="1" applyProtection="1">
      <protection locked="0"/>
    </xf>
    <xf numFmtId="0" fontId="41" fillId="21" borderId="0" xfId="340" applyFont="1" applyFill="1"/>
    <xf numFmtId="0" fontId="42" fillId="21" borderId="0" xfId="340" applyFont="1" applyFill="1"/>
    <xf numFmtId="0" fontId="43" fillId="0" borderId="0" xfId="0" applyFont="1"/>
    <xf numFmtId="0" fontId="44" fillId="0" borderId="0" xfId="0" applyFont="1"/>
    <xf numFmtId="3" fontId="43" fillId="0" borderId="0" xfId="346" applyNumberFormat="1" applyFont="1"/>
    <xf numFmtId="3" fontId="44" fillId="0" borderId="0" xfId="346" applyNumberFormat="1" applyFont="1"/>
    <xf numFmtId="3" fontId="43" fillId="0" borderId="0" xfId="346" applyNumberFormat="1" applyFont="1" applyAlignment="1">
      <alignment horizontal="right" vertical="center"/>
    </xf>
    <xf numFmtId="166" fontId="43" fillId="0" borderId="18" xfId="346" applyNumberFormat="1" applyFont="1" applyBorder="1" applyAlignment="1">
      <alignment vertical="center"/>
    </xf>
    <xf numFmtId="171" fontId="39" fillId="0" borderId="0" xfId="346" applyNumberFormat="1" applyFont="1"/>
    <xf numFmtId="171" fontId="39" fillId="0" borderId="0" xfId="346" applyNumberFormat="1" applyFont="1" applyAlignment="1">
      <alignment horizontal="left"/>
    </xf>
    <xf numFmtId="3" fontId="45" fillId="0" borderId="12" xfId="346" applyNumberFormat="1" applyFont="1" applyBorder="1" applyAlignment="1">
      <alignment vertical="center"/>
    </xf>
    <xf numFmtId="169" fontId="46" fillId="0" borderId="12" xfId="244" applyNumberFormat="1" applyFont="1" applyBorder="1"/>
    <xf numFmtId="0" fontId="40" fillId="0" borderId="0" xfId="0" applyFont="1"/>
    <xf numFmtId="3" fontId="39" fillId="0" borderId="0" xfId="346" applyNumberFormat="1" applyFont="1"/>
    <xf numFmtId="3" fontId="43" fillId="0" borderId="0" xfId="346" applyNumberFormat="1" applyFont="1" applyAlignment="1">
      <alignment horizontal="right"/>
    </xf>
    <xf numFmtId="166" fontId="45" fillId="0" borderId="12" xfId="346" applyNumberFormat="1" applyFont="1" applyBorder="1" applyAlignment="1">
      <alignment vertical="center"/>
    </xf>
    <xf numFmtId="168" fontId="46" fillId="0" borderId="12" xfId="244" applyNumberFormat="1" applyFont="1" applyFill="1" applyBorder="1"/>
    <xf numFmtId="168" fontId="46" fillId="0" borderId="12" xfId="244" applyNumberFormat="1" applyFont="1" applyBorder="1"/>
    <xf numFmtId="168" fontId="39" fillId="0" borderId="0" xfId="337" applyNumberFormat="1" applyFont="1"/>
    <xf numFmtId="3" fontId="43" fillId="0" borderId="0" xfId="347" applyNumberFormat="1" applyFont="1"/>
    <xf numFmtId="166" fontId="44" fillId="0" borderId="0" xfId="347" applyNumberFormat="1" applyFont="1"/>
    <xf numFmtId="166" fontId="43" fillId="0" borderId="0" xfId="347" applyNumberFormat="1" applyFont="1" applyAlignment="1">
      <alignment horizontal="right"/>
    </xf>
    <xf numFmtId="166" fontId="43" fillId="0" borderId="18" xfId="347" applyNumberFormat="1" applyFont="1" applyBorder="1" applyAlignment="1">
      <alignment vertical="center"/>
    </xf>
    <xf numFmtId="3" fontId="45" fillId="0" borderId="12" xfId="347" applyNumberFormat="1" applyFont="1" applyBorder="1" applyAlignment="1">
      <alignment vertical="center"/>
    </xf>
    <xf numFmtId="3" fontId="39" fillId="0" borderId="0" xfId="347" applyNumberFormat="1" applyFont="1"/>
    <xf numFmtId="3" fontId="44" fillId="0" borderId="0" xfId="347" applyNumberFormat="1" applyFont="1"/>
    <xf numFmtId="4" fontId="19" fillId="18" borderId="0" xfId="0" applyNumberFormat="1" applyFont="1" applyFill="1"/>
    <xf numFmtId="172" fontId="39" fillId="0" borderId="0" xfId="395" applyNumberFormat="1" applyFont="1" applyAlignment="1"/>
    <xf numFmtId="3" fontId="34" fillId="0" borderId="0" xfId="339" applyNumberFormat="1" applyFont="1"/>
    <xf numFmtId="171" fontId="19" fillId="0" borderId="16" xfId="342" applyNumberFormat="1" applyFont="1" applyBorder="1" applyAlignment="1">
      <alignment horizontal="left" wrapText="1" indent="1"/>
    </xf>
    <xf numFmtId="171" fontId="22" fillId="0" borderId="0" xfId="330" applyNumberFormat="1" applyFont="1" applyProtection="1">
      <protection locked="0"/>
    </xf>
    <xf numFmtId="165" fontId="27" fillId="0" borderId="0" xfId="0" applyNumberFormat="1" applyFont="1"/>
    <xf numFmtId="0" fontId="27" fillId="0" borderId="0" xfId="0" applyFont="1"/>
    <xf numFmtId="171" fontId="22" fillId="0" borderId="16" xfId="330" applyNumberFormat="1" applyFont="1" applyBorder="1" applyProtection="1">
      <protection locked="0"/>
    </xf>
    <xf numFmtId="166" fontId="22" fillId="0" borderId="11" xfId="0" applyNumberFormat="1" applyFont="1" applyBorder="1" applyAlignment="1">
      <alignment vertical="center"/>
    </xf>
    <xf numFmtId="169" fontId="34" fillId="0" borderId="12" xfId="244" applyNumberFormat="1" applyFont="1" applyBorder="1" applyAlignment="1"/>
    <xf numFmtId="171" fontId="19" fillId="0" borderId="20" xfId="342" applyNumberFormat="1" applyFont="1" applyBorder="1"/>
    <xf numFmtId="3" fontId="19" fillId="0" borderId="0" xfId="344" applyNumberFormat="1" applyFont="1"/>
    <xf numFmtId="169" fontId="46" fillId="0" borderId="12" xfId="244" applyNumberFormat="1" applyFont="1" applyFill="1" applyBorder="1"/>
    <xf numFmtId="167" fontId="34" fillId="0" borderId="11" xfId="334" applyNumberFormat="1" applyFont="1" applyBorder="1" applyAlignment="1">
      <alignment vertical="center"/>
    </xf>
    <xf numFmtId="3" fontId="22" fillId="0" borderId="11" xfId="342" applyNumberFormat="1" applyFont="1" applyBorder="1" applyAlignment="1">
      <alignment vertical="center"/>
    </xf>
    <xf numFmtId="171" fontId="19" fillId="0" borderId="15" xfId="326" applyNumberFormat="1" applyFont="1" applyBorder="1"/>
    <xf numFmtId="171" fontId="19" fillId="0" borderId="0" xfId="326" applyNumberFormat="1" applyFont="1" applyAlignment="1">
      <alignment horizontal="left" indent="1"/>
    </xf>
    <xf numFmtId="171" fontId="19" fillId="0" borderId="0" xfId="326" applyNumberFormat="1" applyFont="1"/>
    <xf numFmtId="171" fontId="19" fillId="0" borderId="0" xfId="326" applyNumberFormat="1" applyFont="1" applyAlignment="1">
      <alignment vertical="center"/>
    </xf>
    <xf numFmtId="171" fontId="22" fillId="0" borderId="12" xfId="326" applyNumberFormat="1" applyFont="1" applyBorder="1" applyAlignment="1">
      <alignment vertical="center"/>
    </xf>
    <xf numFmtId="166" fontId="28" fillId="0" borderId="0" xfId="0" applyNumberFormat="1" applyFont="1"/>
    <xf numFmtId="3" fontId="19" fillId="0" borderId="0" xfId="0" applyNumberFormat="1" applyFont="1" applyAlignment="1">
      <alignment vertical="center"/>
    </xf>
    <xf numFmtId="3" fontId="28" fillId="19" borderId="0" xfId="244" applyNumberFormat="1" applyFont="1" applyFill="1" applyBorder="1"/>
    <xf numFmtId="3" fontId="28" fillId="19" borderId="0" xfId="244" quotePrefix="1" applyNumberFormat="1" applyFont="1" applyFill="1" applyBorder="1"/>
    <xf numFmtId="3" fontId="29" fillId="19" borderId="0" xfId="244" applyNumberFormat="1" applyFont="1" applyFill="1" applyBorder="1"/>
    <xf numFmtId="3" fontId="28" fillId="0" borderId="0" xfId="244" quotePrefix="1" applyNumberFormat="1" applyFont="1" applyFill="1" applyBorder="1"/>
    <xf numFmtId="165" fontId="28" fillId="19" borderId="15" xfId="0" applyNumberFormat="1" applyFont="1" applyFill="1" applyBorder="1"/>
    <xf numFmtId="165" fontId="29" fillId="0" borderId="0" xfId="0" applyNumberFormat="1" applyFont="1"/>
    <xf numFmtId="3" fontId="28" fillId="19" borderId="15" xfId="244" applyNumberFormat="1" applyFont="1" applyFill="1" applyBorder="1"/>
    <xf numFmtId="3" fontId="19" fillId="19" borderId="15" xfId="331" applyNumberFormat="1" applyFont="1" applyFill="1" applyBorder="1" applyAlignment="1" applyProtection="1">
      <alignment horizontal="right" vertical="center"/>
      <protection locked="0"/>
    </xf>
    <xf numFmtId="3" fontId="28" fillId="0" borderId="0" xfId="244" applyNumberFormat="1" applyFont="1" applyFill="1" applyBorder="1"/>
    <xf numFmtId="3" fontId="29" fillId="0" borderId="0" xfId="244" applyNumberFormat="1" applyFont="1" applyFill="1" applyBorder="1"/>
    <xf numFmtId="169" fontId="40" fillId="0" borderId="15" xfId="244" applyNumberFormat="1" applyFont="1" applyBorder="1"/>
    <xf numFmtId="169" fontId="40" fillId="0" borderId="15" xfId="244" applyNumberFormat="1" applyFont="1" applyFill="1" applyBorder="1"/>
    <xf numFmtId="169" fontId="40" fillId="0" borderId="0" xfId="244" applyNumberFormat="1" applyFont="1" applyBorder="1"/>
    <xf numFmtId="169" fontId="40" fillId="0" borderId="0" xfId="244" applyNumberFormat="1" applyFont="1" applyFill="1" applyBorder="1"/>
    <xf numFmtId="168" fontId="40" fillId="0" borderId="15" xfId="244" applyNumberFormat="1" applyFont="1" applyBorder="1"/>
    <xf numFmtId="168" fontId="40" fillId="0" borderId="0" xfId="244" applyNumberFormat="1" applyFont="1" applyBorder="1"/>
    <xf numFmtId="168" fontId="40" fillId="0" borderId="15" xfId="244" applyNumberFormat="1" applyFont="1" applyFill="1" applyBorder="1"/>
    <xf numFmtId="168" fontId="40" fillId="0" borderId="0" xfId="244" applyNumberFormat="1" applyFont="1" applyFill="1" applyBorder="1"/>
    <xf numFmtId="0" fontId="39" fillId="0" borderId="0" xfId="338" applyFont="1"/>
    <xf numFmtId="3" fontId="28" fillId="0" borderId="0" xfId="244" applyNumberFormat="1" applyFont="1" applyFill="1" applyBorder="1" applyAlignment="1">
      <alignment vertical="center"/>
    </xf>
    <xf numFmtId="3" fontId="27" fillId="0" borderId="0" xfId="0" applyNumberFormat="1" applyFont="1"/>
    <xf numFmtId="0" fontId="48" fillId="0" borderId="0" xfId="0" applyFont="1"/>
    <xf numFmtId="3" fontId="19" fillId="0" borderId="12" xfId="0" applyNumberFormat="1" applyFont="1" applyBorder="1" applyAlignment="1">
      <alignment vertical="center"/>
    </xf>
    <xf numFmtId="0" fontId="27" fillId="19" borderId="0" xfId="0" applyFont="1" applyFill="1"/>
    <xf numFmtId="3" fontId="27" fillId="19" borderId="0" xfId="0" applyNumberFormat="1" applyFont="1" applyFill="1"/>
    <xf numFmtId="0" fontId="50" fillId="19" borderId="0" xfId="0" applyFont="1" applyFill="1"/>
    <xf numFmtId="3" fontId="50" fillId="19" borderId="0" xfId="0" applyNumberFormat="1" applyFont="1" applyFill="1"/>
    <xf numFmtId="0" fontId="51" fillId="19" borderId="0" xfId="0" applyFont="1" applyFill="1"/>
    <xf numFmtId="0" fontId="39" fillId="0" borderId="0" xfId="0" applyFont="1"/>
    <xf numFmtId="169" fontId="39" fillId="0" borderId="0" xfId="244" applyNumberFormat="1" applyFont="1"/>
    <xf numFmtId="3" fontId="39" fillId="0" borderId="0" xfId="0" applyNumberFormat="1" applyFont="1"/>
    <xf numFmtId="168" fontId="39" fillId="0" borderId="0" xfId="244" applyNumberFormat="1" applyFont="1"/>
    <xf numFmtId="169" fontId="40" fillId="0" borderId="0" xfId="244" applyNumberFormat="1" applyFont="1"/>
    <xf numFmtId="171" fontId="19" fillId="0" borderId="12" xfId="340" applyNumberFormat="1" applyFont="1" applyBorder="1"/>
    <xf numFmtId="3" fontId="28" fillId="0" borderId="0" xfId="244" applyNumberFormat="1" applyFont="1" applyFill="1" applyAlignment="1">
      <alignment vertical="center"/>
    </xf>
    <xf numFmtId="169" fontId="34" fillId="0" borderId="0" xfId="244" applyNumberFormat="1" applyFont="1" applyBorder="1"/>
    <xf numFmtId="0" fontId="22" fillId="0" borderId="0" xfId="344" applyFont="1" applyAlignment="1">
      <alignment horizontal="right"/>
    </xf>
    <xf numFmtId="0" fontId="35" fillId="0" borderId="18" xfId="0" applyFont="1" applyBorder="1"/>
    <xf numFmtId="3" fontId="22" fillId="0" borderId="15" xfId="331" applyNumberFormat="1" applyFont="1" applyBorder="1" applyAlignment="1" applyProtection="1">
      <alignment horizontal="right" vertical="center"/>
      <protection locked="0"/>
    </xf>
    <xf numFmtId="171" fontId="19" fillId="0" borderId="0" xfId="330" applyNumberFormat="1" applyFont="1" applyProtection="1">
      <protection locked="0"/>
    </xf>
    <xf numFmtId="166" fontId="22" fillId="0" borderId="0" xfId="341" applyNumberFormat="1" applyFont="1" applyAlignment="1">
      <alignment horizontal="right" vertical="center"/>
    </xf>
    <xf numFmtId="171" fontId="19" fillId="0" borderId="0" xfId="330" applyNumberFormat="1" applyFont="1" applyAlignment="1" applyProtection="1">
      <alignment horizontal="left" indent="1"/>
      <protection locked="0"/>
    </xf>
    <xf numFmtId="171" fontId="19" fillId="0" borderId="0" xfId="330" applyNumberFormat="1" applyFont="1" applyAlignment="1" applyProtection="1">
      <alignment horizontal="right"/>
      <protection locked="0"/>
    </xf>
    <xf numFmtId="3" fontId="34" fillId="0" borderId="18" xfId="332" applyNumberFormat="1" applyFont="1" applyBorder="1" applyAlignment="1" applyProtection="1">
      <alignment vertical="center"/>
      <protection locked="0"/>
    </xf>
    <xf numFmtId="3" fontId="25" fillId="0" borderId="19" xfId="332" applyNumberFormat="1" applyFont="1" applyBorder="1" applyProtection="1">
      <protection locked="0"/>
    </xf>
    <xf numFmtId="3" fontId="22" fillId="0" borderId="15" xfId="333" applyNumberFormat="1" applyFont="1" applyBorder="1" applyAlignment="1" applyProtection="1">
      <alignment horizontal="right"/>
      <protection locked="0"/>
    </xf>
    <xf numFmtId="171" fontId="22" fillId="0" borderId="16" xfId="332" applyNumberFormat="1" applyFont="1" applyBorder="1" applyProtection="1">
      <protection locked="0"/>
    </xf>
    <xf numFmtId="3" fontId="29" fillId="0" borderId="0" xfId="0" applyNumberFormat="1" applyFont="1"/>
    <xf numFmtId="0" fontId="49" fillId="0" borderId="0" xfId="0" applyFont="1"/>
    <xf numFmtId="171" fontId="19" fillId="0" borderId="16" xfId="332" applyNumberFormat="1" applyFont="1" applyBorder="1" applyProtection="1">
      <protection locked="0"/>
    </xf>
    <xf numFmtId="171" fontId="19" fillId="0" borderId="16" xfId="332" applyNumberFormat="1" applyFont="1" applyBorder="1" applyAlignment="1" applyProtection="1">
      <alignment horizontal="left" indent="1"/>
      <protection locked="0"/>
    </xf>
    <xf numFmtId="3" fontId="25" fillId="0" borderId="16" xfId="332" applyNumberFormat="1" applyFont="1" applyBorder="1" applyProtection="1">
      <protection locked="0"/>
    </xf>
    <xf numFmtId="3" fontId="22" fillId="0" borderId="0" xfId="333" quotePrefix="1" applyNumberFormat="1" applyFont="1" applyAlignment="1" applyProtection="1">
      <alignment horizontal="right"/>
      <protection locked="0"/>
    </xf>
    <xf numFmtId="171" fontId="22" fillId="0" borderId="12" xfId="330" applyNumberFormat="1" applyFont="1" applyBorder="1" applyProtection="1">
      <protection locked="0"/>
    </xf>
    <xf numFmtId="3" fontId="29" fillId="0" borderId="12" xfId="0" applyNumberFormat="1" applyFont="1" applyBorder="1"/>
    <xf numFmtId="3" fontId="19" fillId="0" borderId="0" xfId="244" applyNumberFormat="1" applyFont="1" applyFill="1" applyAlignment="1">
      <alignment vertical="center"/>
    </xf>
    <xf numFmtId="3" fontId="19" fillId="0" borderId="0" xfId="244" applyNumberFormat="1" applyFont="1" applyFill="1" applyBorder="1" applyAlignment="1">
      <alignment vertical="center"/>
    </xf>
    <xf numFmtId="3" fontId="28" fillId="0" borderId="12" xfId="244" applyNumberFormat="1" applyFont="1" applyFill="1" applyBorder="1" applyAlignment="1">
      <alignment vertical="center"/>
    </xf>
    <xf numFmtId="169" fontId="19" fillId="0" borderId="0" xfId="244" applyNumberFormat="1" applyFont="1" applyAlignment="1">
      <alignment horizontal="right"/>
    </xf>
    <xf numFmtId="169" fontId="19" fillId="0" borderId="0" xfId="244" applyNumberFormat="1" applyFont="1" applyFill="1" applyAlignment="1">
      <alignment horizontal="right"/>
    </xf>
    <xf numFmtId="169" fontId="19" fillId="0" borderId="0" xfId="244" applyNumberFormat="1" applyFont="1" applyAlignment="1">
      <alignment horizontal="right" vertical="center"/>
    </xf>
    <xf numFmtId="169" fontId="22" fillId="0" borderId="11" xfId="244" applyNumberFormat="1" applyFont="1" applyBorder="1" applyAlignment="1">
      <alignment horizontal="right" vertical="center"/>
    </xf>
    <xf numFmtId="169" fontId="19" fillId="0" borderId="15" xfId="244" applyNumberFormat="1" applyFont="1" applyBorder="1" applyAlignment="1">
      <alignment horizontal="right"/>
    </xf>
    <xf numFmtId="169" fontId="22" fillId="0" borderId="12" xfId="244" applyNumberFormat="1" applyFont="1" applyBorder="1" applyAlignment="1">
      <alignment horizontal="right" vertical="center"/>
    </xf>
    <xf numFmtId="169" fontId="39" fillId="0" borderId="15" xfId="244" applyNumberFormat="1" applyFont="1" applyBorder="1"/>
    <xf numFmtId="169" fontId="39" fillId="0" borderId="0" xfId="244" applyNumberFormat="1" applyFont="1" applyBorder="1"/>
    <xf numFmtId="169" fontId="45" fillId="0" borderId="12" xfId="244" applyNumberFormat="1" applyFont="1" applyBorder="1"/>
    <xf numFmtId="4" fontId="29" fillId="0" borderId="0" xfId="0" applyNumberFormat="1" applyFont="1"/>
    <xf numFmtId="173" fontId="28" fillId="0" borderId="0" xfId="0" applyNumberFormat="1" applyFont="1"/>
    <xf numFmtId="1" fontId="34" fillId="0" borderId="11" xfId="343" quotePrefix="1" applyNumberFormat="1" applyFont="1" applyBorder="1" applyAlignment="1">
      <alignment horizontal="right" vertical="center"/>
    </xf>
    <xf numFmtId="3" fontId="52" fillId="0" borderId="0" xfId="0" applyNumberFormat="1" applyFont="1"/>
    <xf numFmtId="3" fontId="53" fillId="0" borderId="0" xfId="0" applyNumberFormat="1" applyFont="1"/>
    <xf numFmtId="174" fontId="19" fillId="0" borderId="0" xfId="0" applyNumberFormat="1" applyFont="1"/>
    <xf numFmtId="0" fontId="37" fillId="0" borderId="0" xfId="0" applyFont="1" applyAlignment="1">
      <alignment horizontal="right" vertical="center"/>
    </xf>
    <xf numFmtId="0" fontId="54" fillId="0" borderId="0" xfId="0" applyFont="1"/>
    <xf numFmtId="0" fontId="54" fillId="0" borderId="0" xfId="0" quotePrefix="1" applyFont="1"/>
    <xf numFmtId="0" fontId="35" fillId="0" borderId="0" xfId="344" applyFont="1" applyAlignment="1">
      <alignment horizontal="right"/>
    </xf>
    <xf numFmtId="0" fontId="57" fillId="0" borderId="0" xfId="344" applyFont="1" applyAlignment="1">
      <alignment horizontal="right"/>
    </xf>
    <xf numFmtId="0" fontId="54" fillId="0" borderId="15" xfId="0" applyFont="1" applyBorder="1"/>
    <xf numFmtId="0" fontId="57" fillId="0" borderId="0" xfId="0" applyFont="1" applyAlignment="1">
      <alignment horizontal="right"/>
    </xf>
    <xf numFmtId="171" fontId="19" fillId="0" borderId="15" xfId="340" applyNumberFormat="1" applyFont="1" applyBorder="1" applyAlignment="1">
      <alignment vertical="center"/>
    </xf>
    <xf numFmtId="0" fontId="57" fillId="0" borderId="0" xfId="0" applyFont="1"/>
    <xf numFmtId="3" fontId="57" fillId="19" borderId="0" xfId="331" applyNumberFormat="1" applyFont="1" applyFill="1" applyAlignment="1" applyProtection="1">
      <alignment horizontal="right"/>
      <protection locked="0"/>
    </xf>
    <xf numFmtId="3" fontId="58" fillId="19" borderId="0" xfId="348" applyNumberFormat="1" applyFont="1" applyFill="1" applyAlignment="1">
      <alignment horizontal="left"/>
    </xf>
    <xf numFmtId="0" fontId="54" fillId="19" borderId="0" xfId="0" applyFont="1" applyFill="1"/>
    <xf numFmtId="0" fontId="54" fillId="19" borderId="0" xfId="0" quotePrefix="1" applyFont="1" applyFill="1"/>
    <xf numFmtId="3" fontId="58" fillId="19" borderId="0" xfId="349" applyNumberFormat="1" applyFont="1" applyFill="1" applyAlignment="1">
      <alignment horizontal="left" vertical="top"/>
    </xf>
    <xf numFmtId="3" fontId="59" fillId="0" borderId="0" xfId="346" applyNumberFormat="1" applyFont="1" applyAlignment="1">
      <alignment horizontal="right" vertical="center"/>
    </xf>
    <xf numFmtId="3" fontId="59" fillId="0" borderId="0" xfId="346" applyNumberFormat="1" applyFont="1" applyAlignment="1">
      <alignment horizontal="right"/>
    </xf>
    <xf numFmtId="166" fontId="59" fillId="0" borderId="0" xfId="347" applyNumberFormat="1" applyFont="1" applyAlignment="1">
      <alignment horizontal="right"/>
    </xf>
  </cellXfs>
  <cellStyles count="396">
    <cellStyle name="20% - Accent1 10" xfId="1"/>
    <cellStyle name="20% - Accent1 2" xfId="2"/>
    <cellStyle name="20% - Accent1 3" xfId="3"/>
    <cellStyle name="20% - Accent1 4" xfId="4"/>
    <cellStyle name="20% - Accent1 5" xfId="5"/>
    <cellStyle name="20% - Accent1 6" xfId="6"/>
    <cellStyle name="20% - Accent1 7" xfId="7"/>
    <cellStyle name="20% - Accent1 8" xfId="8"/>
    <cellStyle name="20% - Accent1 9" xfId="9"/>
    <cellStyle name="20% - Accent2 10" xfId="10"/>
    <cellStyle name="20% - Accent2 2" xfId="11"/>
    <cellStyle name="20% - Accent2 3" xfId="12"/>
    <cellStyle name="20% - Accent2 4" xfId="13"/>
    <cellStyle name="20% - Accent2 5" xfId="14"/>
    <cellStyle name="20% - Accent2 6" xfId="15"/>
    <cellStyle name="20% - Accent2 7" xfId="16"/>
    <cellStyle name="20% - Accent2 8" xfId="17"/>
    <cellStyle name="20% - Accent2 9" xfId="18"/>
    <cellStyle name="20% - Accent3 10" xfId="19"/>
    <cellStyle name="20% - Accent3 2" xfId="20"/>
    <cellStyle name="20% - Accent3 3" xfId="21"/>
    <cellStyle name="20% - Accent3 4" xfId="22"/>
    <cellStyle name="20% - Accent3 5" xfId="23"/>
    <cellStyle name="20% - Accent3 6" xfId="24"/>
    <cellStyle name="20% - Accent3 7" xfId="25"/>
    <cellStyle name="20% - Accent3 8" xfId="26"/>
    <cellStyle name="20% - Accent3 9" xfId="27"/>
    <cellStyle name="20% - Accent4 10" xfId="28"/>
    <cellStyle name="20% - Accent4 2" xfId="29"/>
    <cellStyle name="20% - Accent4 3" xfId="30"/>
    <cellStyle name="20% - Accent4 4" xfId="31"/>
    <cellStyle name="20% - Accent4 5" xfId="32"/>
    <cellStyle name="20% - Accent4 6" xfId="33"/>
    <cellStyle name="20% - Accent4 7" xfId="34"/>
    <cellStyle name="20% - Accent4 8" xfId="35"/>
    <cellStyle name="20% - Accent4 9" xfId="36"/>
    <cellStyle name="20% - Accent5 10" xfId="37"/>
    <cellStyle name="20% - Accent5 2" xfId="38"/>
    <cellStyle name="20% - Accent5 3" xfId="39"/>
    <cellStyle name="20% - Accent5 4" xfId="40"/>
    <cellStyle name="20% - Accent5 5" xfId="41"/>
    <cellStyle name="20% - Accent5 6" xfId="42"/>
    <cellStyle name="20% - Accent5 7" xfId="43"/>
    <cellStyle name="20% - Accent5 8" xfId="44"/>
    <cellStyle name="20% - Accent5 9" xfId="45"/>
    <cellStyle name="20% - Accent6 10" xfId="46"/>
    <cellStyle name="20% - Accent6 2" xfId="47"/>
    <cellStyle name="20% - Accent6 3" xfId="48"/>
    <cellStyle name="20% - Accent6 4" xfId="49"/>
    <cellStyle name="20% - Accent6 5" xfId="50"/>
    <cellStyle name="20% - Accent6 6" xfId="51"/>
    <cellStyle name="20% - Accent6 7" xfId="52"/>
    <cellStyle name="20% - Accent6 8" xfId="53"/>
    <cellStyle name="20% - Accent6 9" xfId="54"/>
    <cellStyle name="40% - Accent1 10" xfId="55"/>
    <cellStyle name="40% - Accent1 2" xfId="56"/>
    <cellStyle name="40% - Accent1 3" xfId="57"/>
    <cellStyle name="40% - Accent1 4" xfId="58"/>
    <cellStyle name="40% - Accent1 5" xfId="59"/>
    <cellStyle name="40% - Accent1 6" xfId="60"/>
    <cellStyle name="40% - Accent1 7" xfId="61"/>
    <cellStyle name="40% - Accent1 8" xfId="62"/>
    <cellStyle name="40% - Accent1 9" xfId="63"/>
    <cellStyle name="40% - Accent2 10" xfId="64"/>
    <cellStyle name="40% - Accent2 2" xfId="65"/>
    <cellStyle name="40% - Accent2 3" xfId="66"/>
    <cellStyle name="40% - Accent2 4" xfId="67"/>
    <cellStyle name="40% - Accent2 5" xfId="68"/>
    <cellStyle name="40% - Accent2 6" xfId="69"/>
    <cellStyle name="40% - Accent2 7" xfId="70"/>
    <cellStyle name="40% - Accent2 8" xfId="71"/>
    <cellStyle name="40% - Accent2 9" xfId="72"/>
    <cellStyle name="40% - Accent3 10" xfId="73"/>
    <cellStyle name="40% - Accent3 2" xfId="74"/>
    <cellStyle name="40% - Accent3 3" xfId="75"/>
    <cellStyle name="40% - Accent3 4" xfId="76"/>
    <cellStyle name="40% - Accent3 5" xfId="77"/>
    <cellStyle name="40% - Accent3 6" xfId="78"/>
    <cellStyle name="40% - Accent3 7" xfId="79"/>
    <cellStyle name="40% - Accent3 8" xfId="80"/>
    <cellStyle name="40% - Accent3 9" xfId="81"/>
    <cellStyle name="40% - Accent4 10" xfId="82"/>
    <cellStyle name="40% - Accent4 2" xfId="83"/>
    <cellStyle name="40% - Accent4 3" xfId="84"/>
    <cellStyle name="40% - Accent4 4" xfId="85"/>
    <cellStyle name="40% - Accent4 5" xfId="86"/>
    <cellStyle name="40% - Accent4 6" xfId="87"/>
    <cellStyle name="40% - Accent4 7" xfId="88"/>
    <cellStyle name="40% - Accent4 8" xfId="89"/>
    <cellStyle name="40% - Accent4 9" xfId="90"/>
    <cellStyle name="40% - Accent5 10" xfId="91"/>
    <cellStyle name="40% - Accent5 2" xfId="92"/>
    <cellStyle name="40% - Accent5 3" xfId="93"/>
    <cellStyle name="40% - Accent5 4" xfId="94"/>
    <cellStyle name="40% - Accent5 5" xfId="95"/>
    <cellStyle name="40% - Accent5 6" xfId="96"/>
    <cellStyle name="40% - Accent5 7" xfId="97"/>
    <cellStyle name="40% - Accent5 8" xfId="98"/>
    <cellStyle name="40% - Accent5 9" xfId="99"/>
    <cellStyle name="40% - Accent6 10" xfId="100"/>
    <cellStyle name="40% - Accent6 2" xfId="101"/>
    <cellStyle name="40% - Accent6 3" xfId="102"/>
    <cellStyle name="40% - Accent6 4" xfId="103"/>
    <cellStyle name="40% - Accent6 5" xfId="104"/>
    <cellStyle name="40% - Accent6 6" xfId="105"/>
    <cellStyle name="40% - Accent6 7" xfId="106"/>
    <cellStyle name="40% - Accent6 8" xfId="107"/>
    <cellStyle name="40% - Accent6 9" xfId="108"/>
    <cellStyle name="60% - Accent1 10" xfId="109"/>
    <cellStyle name="60% - Accent1 2" xfId="110"/>
    <cellStyle name="60% - Accent1 3" xfId="111"/>
    <cellStyle name="60% - Accent1 4" xfId="112"/>
    <cellStyle name="60% - Accent1 5" xfId="113"/>
    <cellStyle name="60% - Accent1 6" xfId="114"/>
    <cellStyle name="60% - Accent1 7" xfId="115"/>
    <cellStyle name="60% - Accent1 8" xfId="116"/>
    <cellStyle name="60% - Accent1 9" xfId="117"/>
    <cellStyle name="60% - Accent2 10" xfId="118"/>
    <cellStyle name="60% - Accent2 2" xfId="119"/>
    <cellStyle name="60% - Accent2 3" xfId="120"/>
    <cellStyle name="60% - Accent2 4" xfId="121"/>
    <cellStyle name="60% - Accent2 5" xfId="122"/>
    <cellStyle name="60% - Accent2 6" xfId="123"/>
    <cellStyle name="60% - Accent2 7" xfId="124"/>
    <cellStyle name="60% - Accent2 8" xfId="125"/>
    <cellStyle name="60% - Accent2 9" xfId="126"/>
    <cellStyle name="60% - Accent3 10" xfId="127"/>
    <cellStyle name="60% - Accent3 2" xfId="128"/>
    <cellStyle name="60% - Accent3 3" xfId="129"/>
    <cellStyle name="60% - Accent3 4" xfId="130"/>
    <cellStyle name="60% - Accent3 5" xfId="131"/>
    <cellStyle name="60% - Accent3 6" xfId="132"/>
    <cellStyle name="60% - Accent3 7" xfId="133"/>
    <cellStyle name="60% - Accent3 8" xfId="134"/>
    <cellStyle name="60% - Accent3 9" xfId="135"/>
    <cellStyle name="60% - Accent4 10" xfId="136"/>
    <cellStyle name="60% - Accent4 2" xfId="137"/>
    <cellStyle name="60% - Accent4 3" xfId="138"/>
    <cellStyle name="60% - Accent4 4" xfId="139"/>
    <cellStyle name="60% - Accent4 5" xfId="140"/>
    <cellStyle name="60% - Accent4 6" xfId="141"/>
    <cellStyle name="60% - Accent4 7" xfId="142"/>
    <cellStyle name="60% - Accent4 8" xfId="143"/>
    <cellStyle name="60% - Accent4 9" xfId="144"/>
    <cellStyle name="60% - Accent5 10" xfId="145"/>
    <cellStyle name="60% - Accent5 2" xfId="146"/>
    <cellStyle name="60% - Accent5 3" xfId="147"/>
    <cellStyle name="60% - Accent5 4" xfId="148"/>
    <cellStyle name="60% - Accent5 5" xfId="149"/>
    <cellStyle name="60% - Accent5 6" xfId="150"/>
    <cellStyle name="60% - Accent5 7" xfId="151"/>
    <cellStyle name="60% - Accent5 8" xfId="152"/>
    <cellStyle name="60% - Accent5 9" xfId="153"/>
    <cellStyle name="60% - Accent6 10" xfId="154"/>
    <cellStyle name="60% - Accent6 2" xfId="155"/>
    <cellStyle name="60% - Accent6 3" xfId="156"/>
    <cellStyle name="60% - Accent6 4" xfId="157"/>
    <cellStyle name="60% - Accent6 5" xfId="158"/>
    <cellStyle name="60% - Accent6 6" xfId="159"/>
    <cellStyle name="60% - Accent6 7" xfId="160"/>
    <cellStyle name="60% - Accent6 8" xfId="161"/>
    <cellStyle name="60% - Accent6 9" xfId="162"/>
    <cellStyle name="Accent1 10" xfId="163"/>
    <cellStyle name="Accent1 2" xfId="164"/>
    <cellStyle name="Accent1 3" xfId="165"/>
    <cellStyle name="Accent1 4" xfId="166"/>
    <cellStyle name="Accent1 5" xfId="167"/>
    <cellStyle name="Accent1 6" xfId="168"/>
    <cellStyle name="Accent1 7" xfId="169"/>
    <cellStyle name="Accent1 8" xfId="170"/>
    <cellStyle name="Accent1 9" xfId="171"/>
    <cellStyle name="Accent2 10" xfId="172"/>
    <cellStyle name="Accent2 2" xfId="173"/>
    <cellStyle name="Accent2 3" xfId="174"/>
    <cellStyle name="Accent2 4" xfId="175"/>
    <cellStyle name="Accent2 5" xfId="176"/>
    <cellStyle name="Accent2 6" xfId="177"/>
    <cellStyle name="Accent2 7" xfId="178"/>
    <cellStyle name="Accent2 8" xfId="179"/>
    <cellStyle name="Accent2 9" xfId="180"/>
    <cellStyle name="Accent3 10" xfId="181"/>
    <cellStyle name="Accent3 2" xfId="182"/>
    <cellStyle name="Accent3 3" xfId="183"/>
    <cellStyle name="Accent3 4" xfId="184"/>
    <cellStyle name="Accent3 5" xfId="185"/>
    <cellStyle name="Accent3 6" xfId="186"/>
    <cellStyle name="Accent3 7" xfId="187"/>
    <cellStyle name="Accent3 8" xfId="188"/>
    <cellStyle name="Accent3 9" xfId="189"/>
    <cellStyle name="Accent4 10" xfId="190"/>
    <cellStyle name="Accent4 2" xfId="191"/>
    <cellStyle name="Accent4 3" xfId="192"/>
    <cellStyle name="Accent4 4" xfId="193"/>
    <cellStyle name="Accent4 5" xfId="194"/>
    <cellStyle name="Accent4 6" xfId="195"/>
    <cellStyle name="Accent4 7" xfId="196"/>
    <cellStyle name="Accent4 8" xfId="197"/>
    <cellStyle name="Accent4 9" xfId="198"/>
    <cellStyle name="Accent5 10" xfId="199"/>
    <cellStyle name="Accent5 2" xfId="200"/>
    <cellStyle name="Accent5 3" xfId="201"/>
    <cellStyle name="Accent5 4" xfId="202"/>
    <cellStyle name="Accent5 5" xfId="203"/>
    <cellStyle name="Accent5 6" xfId="204"/>
    <cellStyle name="Accent5 7" xfId="205"/>
    <cellStyle name="Accent5 8" xfId="206"/>
    <cellStyle name="Accent5 9" xfId="207"/>
    <cellStyle name="Accent6 10" xfId="208"/>
    <cellStyle name="Accent6 2" xfId="209"/>
    <cellStyle name="Accent6 3" xfId="210"/>
    <cellStyle name="Accent6 4" xfId="211"/>
    <cellStyle name="Accent6 5" xfId="212"/>
    <cellStyle name="Accent6 6" xfId="213"/>
    <cellStyle name="Accent6 7" xfId="214"/>
    <cellStyle name="Accent6 8" xfId="215"/>
    <cellStyle name="Accent6 9" xfId="216"/>
    <cellStyle name="Bad 10" xfId="217"/>
    <cellStyle name="Bad 2" xfId="218"/>
    <cellStyle name="Bad 3" xfId="219"/>
    <cellStyle name="Bad 4" xfId="220"/>
    <cellStyle name="Bad 5" xfId="221"/>
    <cellStyle name="Bad 6" xfId="222"/>
    <cellStyle name="Bad 7" xfId="223"/>
    <cellStyle name="Bad 8" xfId="224"/>
    <cellStyle name="Bad 9" xfId="225"/>
    <cellStyle name="Calculation 10" xfId="226"/>
    <cellStyle name="Calculation 2" xfId="227"/>
    <cellStyle name="Calculation 3" xfId="228"/>
    <cellStyle name="Calculation 4" xfId="229"/>
    <cellStyle name="Calculation 5" xfId="230"/>
    <cellStyle name="Calculation 6" xfId="231"/>
    <cellStyle name="Calculation 7" xfId="232"/>
    <cellStyle name="Calculation 8" xfId="233"/>
    <cellStyle name="Calculation 9" xfId="234"/>
    <cellStyle name="Check Cell 10" xfId="235"/>
    <cellStyle name="Check Cell 2" xfId="236"/>
    <cellStyle name="Check Cell 3" xfId="237"/>
    <cellStyle name="Check Cell 4" xfId="238"/>
    <cellStyle name="Check Cell 5" xfId="239"/>
    <cellStyle name="Check Cell 6" xfId="240"/>
    <cellStyle name="Check Cell 7" xfId="241"/>
    <cellStyle name="Check Cell 8" xfId="242"/>
    <cellStyle name="Check Cell 9" xfId="243"/>
    <cellStyle name="Comma" xfId="244" builtinId="3"/>
    <cellStyle name="Explanatory Text 10" xfId="245"/>
    <cellStyle name="Explanatory Text 2" xfId="246"/>
    <cellStyle name="Explanatory Text 3" xfId="247"/>
    <cellStyle name="Explanatory Text 4" xfId="248"/>
    <cellStyle name="Explanatory Text 5" xfId="249"/>
    <cellStyle name="Explanatory Text 6" xfId="250"/>
    <cellStyle name="Explanatory Text 7" xfId="251"/>
    <cellStyle name="Explanatory Text 8" xfId="252"/>
    <cellStyle name="Explanatory Text 9" xfId="253"/>
    <cellStyle name="Good 10" xfId="254"/>
    <cellStyle name="Good 2" xfId="255"/>
    <cellStyle name="Good 3" xfId="256"/>
    <cellStyle name="Good 4" xfId="257"/>
    <cellStyle name="Good 5" xfId="258"/>
    <cellStyle name="Good 6" xfId="259"/>
    <cellStyle name="Good 7" xfId="260"/>
    <cellStyle name="Good 8" xfId="261"/>
    <cellStyle name="Good 9" xfId="262"/>
    <cellStyle name="Heading 1 10" xfId="263"/>
    <cellStyle name="Heading 1 2" xfId="264"/>
    <cellStyle name="Heading 1 3" xfId="265"/>
    <cellStyle name="Heading 1 4" xfId="266"/>
    <cellStyle name="Heading 1 5" xfId="267"/>
    <cellStyle name="Heading 1 6" xfId="268"/>
    <cellStyle name="Heading 1 7" xfId="269"/>
    <cellStyle name="Heading 1 8" xfId="270"/>
    <cellStyle name="Heading 1 9" xfId="271"/>
    <cellStyle name="Heading 2 10" xfId="272"/>
    <cellStyle name="Heading 2 2" xfId="273"/>
    <cellStyle name="Heading 2 3" xfId="274"/>
    <cellStyle name="Heading 2 4" xfId="275"/>
    <cellStyle name="Heading 2 5" xfId="276"/>
    <cellStyle name="Heading 2 6" xfId="277"/>
    <cellStyle name="Heading 2 7" xfId="278"/>
    <cellStyle name="Heading 2 8" xfId="279"/>
    <cellStyle name="Heading 2 9" xfId="280"/>
    <cellStyle name="Heading 3 10" xfId="281"/>
    <cellStyle name="Heading 3 2" xfId="282"/>
    <cellStyle name="Heading 3 3" xfId="283"/>
    <cellStyle name="Heading 3 4" xfId="284"/>
    <cellStyle name="Heading 3 5" xfId="285"/>
    <cellStyle name="Heading 3 6" xfId="286"/>
    <cellStyle name="Heading 3 7" xfId="287"/>
    <cellStyle name="Heading 3 8" xfId="288"/>
    <cellStyle name="Heading 3 9" xfId="289"/>
    <cellStyle name="Heading 4 10" xfId="290"/>
    <cellStyle name="Heading 4 2" xfId="291"/>
    <cellStyle name="Heading 4 3" xfId="292"/>
    <cellStyle name="Heading 4 4" xfId="293"/>
    <cellStyle name="Heading 4 5" xfId="294"/>
    <cellStyle name="Heading 4 6" xfId="295"/>
    <cellStyle name="Heading 4 7" xfId="296"/>
    <cellStyle name="Heading 4 8" xfId="297"/>
    <cellStyle name="Heading 4 9" xfId="298"/>
    <cellStyle name="Input 10" xfId="299"/>
    <cellStyle name="Input 2" xfId="300"/>
    <cellStyle name="Input 3" xfId="301"/>
    <cellStyle name="Input 4" xfId="302"/>
    <cellStyle name="Input 5" xfId="303"/>
    <cellStyle name="Input 6" xfId="304"/>
    <cellStyle name="Input 7" xfId="305"/>
    <cellStyle name="Input 8" xfId="306"/>
    <cellStyle name="Input 9" xfId="307"/>
    <cellStyle name="Linked Cell 10" xfId="308"/>
    <cellStyle name="Linked Cell 2" xfId="309"/>
    <cellStyle name="Linked Cell 3" xfId="310"/>
    <cellStyle name="Linked Cell 4" xfId="311"/>
    <cellStyle name="Linked Cell 5" xfId="312"/>
    <cellStyle name="Linked Cell 6" xfId="313"/>
    <cellStyle name="Linked Cell 7" xfId="314"/>
    <cellStyle name="Linked Cell 8" xfId="315"/>
    <cellStyle name="Linked Cell 9" xfId="316"/>
    <cellStyle name="Neutral 10" xfId="317"/>
    <cellStyle name="Neutral 2" xfId="318"/>
    <cellStyle name="Neutral 3" xfId="319"/>
    <cellStyle name="Neutral 4" xfId="320"/>
    <cellStyle name="Neutral 5" xfId="321"/>
    <cellStyle name="Neutral 6" xfId="322"/>
    <cellStyle name="Neutral 7" xfId="323"/>
    <cellStyle name="Neutral 8" xfId="324"/>
    <cellStyle name="Neutral 9" xfId="325"/>
    <cellStyle name="Normal" xfId="0" builtinId="0"/>
    <cellStyle name="Normal 12" xfId="326"/>
    <cellStyle name="Normal 13" xfId="327"/>
    <cellStyle name="Normal 14" xfId="328"/>
    <cellStyle name="Normal 15" xfId="329"/>
    <cellStyle name="Normal 17" xfId="330"/>
    <cellStyle name="Normal 18" xfId="331"/>
    <cellStyle name="Normal 19" xfId="332"/>
    <cellStyle name="Normal 20" xfId="333"/>
    <cellStyle name="Normal 21" xfId="334"/>
    <cellStyle name="Normal 22" xfId="335"/>
    <cellStyle name="Normal 24" xfId="336"/>
    <cellStyle name="Normal 27" xfId="337"/>
    <cellStyle name="Normal 29" xfId="338"/>
    <cellStyle name="Normal 3" xfId="339"/>
    <cellStyle name="Normal 4" xfId="340"/>
    <cellStyle name="Normal 6" xfId="341"/>
    <cellStyle name="Normal 7" xfId="342"/>
    <cellStyle name="Normal 8" xfId="343"/>
    <cellStyle name="Normal_Sheet1" xfId="344"/>
    <cellStyle name="Normal_tab 2.11" xfId="345"/>
    <cellStyle name="Normal_tab 2.12" xfId="346"/>
    <cellStyle name="Normal_tab 2.13" xfId="347"/>
    <cellStyle name="Normal_tab 2.7" xfId="348"/>
    <cellStyle name="Normal_tab 2.9 &amp; 2.10" xfId="349"/>
    <cellStyle name="Note 10" xfId="350"/>
    <cellStyle name="Note 2" xfId="351"/>
    <cellStyle name="Note 3" xfId="352"/>
    <cellStyle name="Note 4" xfId="353"/>
    <cellStyle name="Note 5" xfId="354"/>
    <cellStyle name="Note 6" xfId="355"/>
    <cellStyle name="Note 7" xfId="356"/>
    <cellStyle name="Note 8" xfId="357"/>
    <cellStyle name="Note 9" xfId="358"/>
    <cellStyle name="Output 10" xfId="359"/>
    <cellStyle name="Output 2" xfId="360"/>
    <cellStyle name="Output 3" xfId="361"/>
    <cellStyle name="Output 4" xfId="362"/>
    <cellStyle name="Output 5" xfId="363"/>
    <cellStyle name="Output 6" xfId="364"/>
    <cellStyle name="Output 7" xfId="365"/>
    <cellStyle name="Output 8" xfId="366"/>
    <cellStyle name="Output 9" xfId="367"/>
    <cellStyle name="Percent" xfId="395" builtinId="5"/>
    <cellStyle name="Title 10" xfId="368"/>
    <cellStyle name="Title 2" xfId="369"/>
    <cellStyle name="Title 3" xfId="370"/>
    <cellStyle name="Title 4" xfId="371"/>
    <cellStyle name="Title 5" xfId="372"/>
    <cellStyle name="Title 6" xfId="373"/>
    <cellStyle name="Title 7" xfId="374"/>
    <cellStyle name="Title 8" xfId="375"/>
    <cellStyle name="Title 9" xfId="376"/>
    <cellStyle name="Total 10" xfId="377"/>
    <cellStyle name="Total 2" xfId="378"/>
    <cellStyle name="Total 3" xfId="379"/>
    <cellStyle name="Total 4" xfId="380"/>
    <cellStyle name="Total 5" xfId="381"/>
    <cellStyle name="Total 6" xfId="382"/>
    <cellStyle name="Total 7" xfId="383"/>
    <cellStyle name="Total 8" xfId="384"/>
    <cellStyle name="Total 9" xfId="385"/>
    <cellStyle name="Warning Text 10" xfId="386"/>
    <cellStyle name="Warning Text 2" xfId="387"/>
    <cellStyle name="Warning Text 3" xfId="388"/>
    <cellStyle name="Warning Text 4" xfId="389"/>
    <cellStyle name="Warning Text 5" xfId="390"/>
    <cellStyle name="Warning Text 6" xfId="391"/>
    <cellStyle name="Warning Text 7" xfId="392"/>
    <cellStyle name="Warning Text 8" xfId="393"/>
    <cellStyle name="Warning Text 9" xfId="39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993300"/>
      <color rgb="FF99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"/>
  <sheetViews>
    <sheetView showGridLines="0" zoomScaleNormal="100" zoomScaleSheetLayoutView="100" workbookViewId="0">
      <pane xSplit="1" ySplit="4" topLeftCell="B113" activePane="bottomRight" state="frozen"/>
      <selection activeCell="C46" sqref="C46"/>
      <selection pane="topRight" activeCell="C46" sqref="C46"/>
      <selection pane="bottomLeft" activeCell="C46" sqref="C46"/>
      <selection pane="bottomRight" sqref="A1:K131"/>
    </sheetView>
  </sheetViews>
  <sheetFormatPr defaultColWidth="10.44140625" defaultRowHeight="11.85" customHeight="1"/>
  <cols>
    <col min="1" max="1" width="38.5546875" style="12" customWidth="1"/>
    <col min="2" max="9" width="9.88671875" style="12" customWidth="1"/>
    <col min="10" max="11" width="10.109375" style="12" customWidth="1"/>
  </cols>
  <sheetData>
    <row r="1" spans="1:17" ht="15.75" customHeight="1">
      <c r="A1" s="79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7" ht="11.85" customHeight="1">
      <c r="A2" s="99" t="s">
        <v>186</v>
      </c>
      <c r="B2" s="100"/>
      <c r="C2" s="100"/>
      <c r="D2" s="99"/>
      <c r="E2" s="100"/>
      <c r="F2" s="100"/>
      <c r="G2" s="100"/>
      <c r="H2" s="100"/>
      <c r="I2" s="100"/>
      <c r="J2" s="220"/>
      <c r="K2" s="220"/>
    </row>
    <row r="3" spans="1:17" ht="11.85" customHeight="1">
      <c r="A3" s="101"/>
      <c r="B3" s="100"/>
      <c r="C3" s="100"/>
      <c r="D3" s="102"/>
      <c r="E3" s="100"/>
      <c r="F3" s="99"/>
      <c r="G3" s="103"/>
      <c r="H3" s="103"/>
      <c r="I3" s="103"/>
      <c r="J3" s="103"/>
      <c r="K3" s="362" t="s">
        <v>180</v>
      </c>
    </row>
    <row r="4" spans="1:17" ht="11.85" customHeight="1">
      <c r="A4" s="178" t="s">
        <v>0</v>
      </c>
      <c r="B4" s="104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200</v>
      </c>
      <c r="J4" s="104" t="s">
        <v>201</v>
      </c>
      <c r="K4" s="104" t="s">
        <v>182</v>
      </c>
    </row>
    <row r="5" spans="1:17" ht="11.85" customHeight="1">
      <c r="A5" s="13" t="s">
        <v>83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7" ht="11.85" customHeight="1">
      <c r="A6" s="189" t="s">
        <v>50</v>
      </c>
      <c r="B6" s="323">
        <v>1648743</v>
      </c>
      <c r="C6" s="323">
        <v>1861293</v>
      </c>
      <c r="D6" s="308">
        <v>2161306</v>
      </c>
      <c r="E6" s="323">
        <v>2299660</v>
      </c>
      <c r="F6" s="323">
        <v>2578151</v>
      </c>
      <c r="G6" s="308">
        <v>2938493</v>
      </c>
      <c r="H6" s="308">
        <v>3153742</v>
      </c>
      <c r="I6" s="308">
        <v>3488389</v>
      </c>
      <c r="J6" s="323">
        <v>3987535</v>
      </c>
      <c r="K6" s="323">
        <v>4476418</v>
      </c>
      <c r="M6" s="3"/>
      <c r="N6" s="3"/>
      <c r="O6" s="3"/>
      <c r="P6" s="3"/>
      <c r="Q6" s="3"/>
    </row>
    <row r="7" spans="1:17" ht="11.85" customHeight="1">
      <c r="A7" s="189" t="s">
        <v>51</v>
      </c>
      <c r="B7" s="323">
        <v>308393</v>
      </c>
      <c r="C7" s="323">
        <v>339860</v>
      </c>
      <c r="D7" s="308">
        <v>388816</v>
      </c>
      <c r="E7" s="323">
        <v>402185</v>
      </c>
      <c r="F7" s="323">
        <v>442442</v>
      </c>
      <c r="G7" s="308">
        <v>505880</v>
      </c>
      <c r="H7" s="308">
        <v>570552</v>
      </c>
      <c r="I7" s="308">
        <v>650682</v>
      </c>
      <c r="J7" s="323">
        <v>762494</v>
      </c>
      <c r="K7" s="323">
        <v>830316</v>
      </c>
      <c r="M7" s="3"/>
      <c r="N7" s="3"/>
      <c r="O7" s="3"/>
      <c r="P7" s="3"/>
      <c r="Q7" s="3"/>
    </row>
    <row r="8" spans="1:17" ht="11.85" customHeight="1">
      <c r="A8" s="189" t="s">
        <v>52</v>
      </c>
      <c r="B8" s="323">
        <v>1340350</v>
      </c>
      <c r="C8" s="323">
        <v>1521434</v>
      </c>
      <c r="D8" s="308">
        <v>1772490</v>
      </c>
      <c r="E8" s="323">
        <v>1897475</v>
      </c>
      <c r="F8" s="323">
        <v>2135709</v>
      </c>
      <c r="G8" s="323">
        <v>2432613</v>
      </c>
      <c r="H8" s="323">
        <v>2583190</v>
      </c>
      <c r="I8" s="323">
        <v>2837707</v>
      </c>
      <c r="J8" s="323">
        <v>3225040</v>
      </c>
      <c r="K8" s="323">
        <v>3646102</v>
      </c>
      <c r="M8" s="3"/>
      <c r="N8" s="3"/>
      <c r="O8" s="3"/>
      <c r="P8" s="3"/>
      <c r="Q8" s="3"/>
    </row>
    <row r="9" spans="1:17" ht="11.85" customHeight="1">
      <c r="A9" s="189" t="s">
        <v>20</v>
      </c>
      <c r="B9" s="323">
        <v>119473</v>
      </c>
      <c r="C9" s="323">
        <v>129754</v>
      </c>
      <c r="D9" s="308">
        <v>153173</v>
      </c>
      <c r="E9" s="323">
        <v>163855</v>
      </c>
      <c r="F9" s="323">
        <v>182358</v>
      </c>
      <c r="G9" s="323">
        <v>207694</v>
      </c>
      <c r="H9" s="323">
        <v>215023</v>
      </c>
      <c r="I9" s="323">
        <v>239586</v>
      </c>
      <c r="J9" s="323">
        <v>263214</v>
      </c>
      <c r="K9" s="323">
        <v>289072</v>
      </c>
      <c r="M9" s="3"/>
      <c r="N9" s="3"/>
      <c r="O9" s="3"/>
      <c r="P9" s="3"/>
      <c r="Q9" s="3"/>
    </row>
    <row r="10" spans="1:17" ht="11.85" customHeight="1">
      <c r="A10" s="189" t="s">
        <v>54</v>
      </c>
      <c r="B10" s="323">
        <v>1220877</v>
      </c>
      <c r="C10" s="323">
        <v>1391680</v>
      </c>
      <c r="D10" s="308">
        <v>1619317</v>
      </c>
      <c r="E10" s="323">
        <v>1733620</v>
      </c>
      <c r="F10" s="323">
        <v>1953351</v>
      </c>
      <c r="G10" s="308">
        <v>2224919</v>
      </c>
      <c r="H10" s="308">
        <v>2368167</v>
      </c>
      <c r="I10" s="308">
        <v>2598121</v>
      </c>
      <c r="J10" s="323">
        <v>2961826</v>
      </c>
      <c r="K10" s="323">
        <v>3357030</v>
      </c>
      <c r="M10" s="3"/>
      <c r="N10" s="3"/>
      <c r="O10" s="3"/>
      <c r="P10" s="3"/>
      <c r="Q10" s="3"/>
    </row>
    <row r="11" spans="1:17" ht="11.85" customHeight="1">
      <c r="A11" s="13" t="s">
        <v>1</v>
      </c>
      <c r="B11" s="344"/>
      <c r="C11" s="344"/>
      <c r="D11" s="345"/>
      <c r="E11" s="344"/>
      <c r="F11" s="344"/>
      <c r="G11" s="345"/>
      <c r="H11" s="345"/>
      <c r="I11" s="345"/>
      <c r="J11" s="344"/>
      <c r="K11" s="344"/>
    </row>
    <row r="12" spans="1:17" ht="11.85" customHeight="1">
      <c r="A12" s="189" t="s">
        <v>50</v>
      </c>
      <c r="B12" s="323">
        <v>158464</v>
      </c>
      <c r="C12" s="323">
        <v>139628</v>
      </c>
      <c r="D12" s="308">
        <v>141012</v>
      </c>
      <c r="E12" s="323">
        <v>136425</v>
      </c>
      <c r="F12" s="323">
        <v>141313</v>
      </c>
      <c r="G12" s="308">
        <v>149894</v>
      </c>
      <c r="H12" s="308">
        <v>190682</v>
      </c>
      <c r="I12" s="308">
        <v>239750</v>
      </c>
      <c r="J12" s="323">
        <v>231901</v>
      </c>
      <c r="K12" s="323">
        <v>218471</v>
      </c>
    </row>
    <row r="13" spans="1:17" ht="11.85" customHeight="1">
      <c r="A13" s="189" t="s">
        <v>51</v>
      </c>
      <c r="B13" s="323">
        <v>70700</v>
      </c>
      <c r="C13" s="323">
        <v>58348</v>
      </c>
      <c r="D13" s="308">
        <v>69337</v>
      </c>
      <c r="E13" s="323">
        <v>67517</v>
      </c>
      <c r="F13" s="323">
        <v>68544</v>
      </c>
      <c r="G13" s="308">
        <v>73491</v>
      </c>
      <c r="H13" s="308">
        <v>98637</v>
      </c>
      <c r="I13" s="308">
        <v>119635</v>
      </c>
      <c r="J13" s="323">
        <v>121750</v>
      </c>
      <c r="K13" s="323">
        <v>109501</v>
      </c>
    </row>
    <row r="14" spans="1:17" ht="11.85" customHeight="1">
      <c r="A14" s="189" t="s">
        <v>52</v>
      </c>
      <c r="B14" s="323">
        <v>87764</v>
      </c>
      <c r="C14" s="323">
        <v>81280</v>
      </c>
      <c r="D14" s="308">
        <v>71675</v>
      </c>
      <c r="E14" s="323">
        <v>68909</v>
      </c>
      <c r="F14" s="323">
        <v>72769</v>
      </c>
      <c r="G14" s="308">
        <v>76402</v>
      </c>
      <c r="H14" s="308">
        <v>92045</v>
      </c>
      <c r="I14" s="308">
        <v>120116</v>
      </c>
      <c r="J14" s="323">
        <v>110151</v>
      </c>
      <c r="K14" s="323">
        <v>108970</v>
      </c>
    </row>
    <row r="15" spans="1:17" ht="11.85" customHeight="1">
      <c r="A15" s="189" t="s">
        <v>20</v>
      </c>
      <c r="B15" s="323">
        <v>12750</v>
      </c>
      <c r="C15" s="323">
        <v>1941</v>
      </c>
      <c r="D15" s="308">
        <v>14475</v>
      </c>
      <c r="E15" s="323">
        <v>15471</v>
      </c>
      <c r="F15" s="323">
        <v>17004</v>
      </c>
      <c r="G15" s="308">
        <v>15629</v>
      </c>
      <c r="H15" s="308">
        <v>15310</v>
      </c>
      <c r="I15" s="308">
        <v>16383</v>
      </c>
      <c r="J15" s="323">
        <v>17619</v>
      </c>
      <c r="K15" s="323">
        <v>18866</v>
      </c>
    </row>
    <row r="16" spans="1:17" ht="11.85" customHeight="1">
      <c r="A16" s="189" t="s">
        <v>54</v>
      </c>
      <c r="B16" s="323">
        <v>75014</v>
      </c>
      <c r="C16" s="323">
        <v>79339</v>
      </c>
      <c r="D16" s="308">
        <v>57200</v>
      </c>
      <c r="E16" s="323">
        <v>53437</v>
      </c>
      <c r="F16" s="323">
        <v>55764</v>
      </c>
      <c r="G16" s="308">
        <v>60774</v>
      </c>
      <c r="H16" s="308">
        <v>76735</v>
      </c>
      <c r="I16" s="308">
        <v>103733</v>
      </c>
      <c r="J16" s="323">
        <v>92532</v>
      </c>
      <c r="K16" s="323">
        <v>90104</v>
      </c>
    </row>
    <row r="17" spans="1:11" ht="11.85" customHeight="1">
      <c r="A17" s="13" t="s">
        <v>2</v>
      </c>
      <c r="B17" s="344"/>
      <c r="C17" s="344"/>
      <c r="D17" s="345"/>
      <c r="E17" s="344"/>
      <c r="F17" s="344"/>
      <c r="G17" s="345"/>
      <c r="H17" s="345"/>
      <c r="I17" s="345"/>
      <c r="J17" s="344"/>
      <c r="K17" s="344"/>
    </row>
    <row r="18" spans="1:11" ht="11.85" customHeight="1">
      <c r="A18" s="189" t="s">
        <v>50</v>
      </c>
      <c r="B18" s="323">
        <v>1928897</v>
      </c>
      <c r="C18" s="323">
        <v>2003566</v>
      </c>
      <c r="D18" s="308">
        <v>2109602</v>
      </c>
      <c r="E18" s="323">
        <v>2216547</v>
      </c>
      <c r="F18" s="323">
        <v>2311586</v>
      </c>
      <c r="G18" s="308">
        <v>2376423</v>
      </c>
      <c r="H18" s="308">
        <v>2700161</v>
      </c>
      <c r="I18" s="308">
        <v>3168615</v>
      </c>
      <c r="J18" s="323">
        <v>3511498</v>
      </c>
      <c r="K18" s="323">
        <v>3691742</v>
      </c>
    </row>
    <row r="19" spans="1:11" ht="11.85" customHeight="1">
      <c r="A19" s="189" t="s">
        <v>51</v>
      </c>
      <c r="B19" s="323">
        <v>1242174</v>
      </c>
      <c r="C19" s="323">
        <v>1295686</v>
      </c>
      <c r="D19" s="308">
        <v>1368227</v>
      </c>
      <c r="E19" s="323">
        <v>1431178</v>
      </c>
      <c r="F19" s="323">
        <v>1502333</v>
      </c>
      <c r="G19" s="308">
        <v>1562095</v>
      </c>
      <c r="H19" s="308">
        <v>1814529</v>
      </c>
      <c r="I19" s="308">
        <v>2124424</v>
      </c>
      <c r="J19" s="323">
        <v>2385866</v>
      </c>
      <c r="K19" s="323">
        <v>2515349</v>
      </c>
    </row>
    <row r="20" spans="1:11" ht="11.85" customHeight="1">
      <c r="A20" s="189" t="s">
        <v>52</v>
      </c>
      <c r="B20" s="323">
        <v>686723</v>
      </c>
      <c r="C20" s="323">
        <v>707880</v>
      </c>
      <c r="D20" s="308">
        <v>741376</v>
      </c>
      <c r="E20" s="323">
        <v>785369</v>
      </c>
      <c r="F20" s="323">
        <v>809253</v>
      </c>
      <c r="G20" s="323">
        <v>814328</v>
      </c>
      <c r="H20" s="323">
        <v>885633</v>
      </c>
      <c r="I20" s="323">
        <v>1044191</v>
      </c>
      <c r="J20" s="323">
        <v>1125632</v>
      </c>
      <c r="K20" s="323">
        <v>1176393</v>
      </c>
    </row>
    <row r="21" spans="1:11" ht="11.85" customHeight="1">
      <c r="A21" s="189" t="s">
        <v>20</v>
      </c>
      <c r="B21" s="323">
        <v>160182</v>
      </c>
      <c r="C21" s="323">
        <v>172208</v>
      </c>
      <c r="D21" s="308">
        <v>190339</v>
      </c>
      <c r="E21" s="323">
        <v>206420</v>
      </c>
      <c r="F21" s="323">
        <v>218255</v>
      </c>
      <c r="G21" s="323">
        <v>215492</v>
      </c>
      <c r="H21" s="323">
        <v>231411</v>
      </c>
      <c r="I21" s="323">
        <v>258418</v>
      </c>
      <c r="J21" s="323">
        <v>283207</v>
      </c>
      <c r="K21" s="323">
        <v>309686</v>
      </c>
    </row>
    <row r="22" spans="1:11" ht="11.85" customHeight="1">
      <c r="A22" s="189" t="s">
        <v>54</v>
      </c>
      <c r="B22" s="323">
        <v>526541</v>
      </c>
      <c r="C22" s="323">
        <v>535673</v>
      </c>
      <c r="D22" s="308">
        <v>551037</v>
      </c>
      <c r="E22" s="323">
        <v>578949</v>
      </c>
      <c r="F22" s="323">
        <v>590998</v>
      </c>
      <c r="G22" s="308">
        <v>598836</v>
      </c>
      <c r="H22" s="308">
        <v>654221</v>
      </c>
      <c r="I22" s="308">
        <v>785773</v>
      </c>
      <c r="J22" s="323">
        <v>842425</v>
      </c>
      <c r="K22" s="323">
        <v>866707</v>
      </c>
    </row>
    <row r="23" spans="1:11" ht="11.85" customHeight="1">
      <c r="A23" s="13" t="s">
        <v>55</v>
      </c>
      <c r="B23" s="344"/>
      <c r="C23" s="344"/>
      <c r="D23" s="345"/>
      <c r="E23" s="344"/>
      <c r="F23" s="344"/>
      <c r="G23" s="345"/>
      <c r="H23" s="345"/>
      <c r="I23" s="345"/>
      <c r="J23" s="344"/>
      <c r="K23" s="344"/>
    </row>
    <row r="24" spans="1:11" ht="11.85" customHeight="1">
      <c r="A24" s="189" t="s">
        <v>50</v>
      </c>
      <c r="B24" s="323">
        <v>221873</v>
      </c>
      <c r="C24" s="323">
        <v>249704</v>
      </c>
      <c r="D24" s="308">
        <v>267454</v>
      </c>
      <c r="E24" s="323">
        <v>270645</v>
      </c>
      <c r="F24" s="323">
        <v>276183</v>
      </c>
      <c r="G24" s="308">
        <v>280726</v>
      </c>
      <c r="H24" s="308">
        <v>303666</v>
      </c>
      <c r="I24" s="308">
        <v>327724</v>
      </c>
      <c r="J24" s="323">
        <v>419078</v>
      </c>
      <c r="K24" s="323">
        <v>455966</v>
      </c>
    </row>
    <row r="25" spans="1:11" ht="11.85" customHeight="1">
      <c r="A25" s="189" t="s">
        <v>51</v>
      </c>
      <c r="B25" s="323">
        <v>43457</v>
      </c>
      <c r="C25" s="323">
        <v>48869</v>
      </c>
      <c r="D25" s="308">
        <v>51447</v>
      </c>
      <c r="E25" s="323">
        <v>53475</v>
      </c>
      <c r="F25" s="323">
        <v>55555</v>
      </c>
      <c r="G25" s="308">
        <v>57156</v>
      </c>
      <c r="H25" s="308">
        <v>67683</v>
      </c>
      <c r="I25" s="308">
        <v>81414</v>
      </c>
      <c r="J25" s="323">
        <v>89463</v>
      </c>
      <c r="K25" s="323">
        <v>96659</v>
      </c>
    </row>
    <row r="26" spans="1:11" ht="11.85" customHeight="1">
      <c r="A26" s="189" t="s">
        <v>52</v>
      </c>
      <c r="B26" s="323">
        <v>178416</v>
      </c>
      <c r="C26" s="323">
        <v>200835</v>
      </c>
      <c r="D26" s="308">
        <v>216008</v>
      </c>
      <c r="E26" s="323">
        <v>217169</v>
      </c>
      <c r="F26" s="323">
        <v>220628</v>
      </c>
      <c r="G26" s="308">
        <v>223570</v>
      </c>
      <c r="H26" s="308">
        <v>235982</v>
      </c>
      <c r="I26" s="308">
        <v>246310</v>
      </c>
      <c r="J26" s="323">
        <v>329615</v>
      </c>
      <c r="K26" s="323">
        <v>359307</v>
      </c>
    </row>
    <row r="27" spans="1:11" ht="11.85" customHeight="1">
      <c r="A27" s="189" t="s">
        <v>20</v>
      </c>
      <c r="B27" s="323">
        <v>31067</v>
      </c>
      <c r="C27" s="323">
        <v>34482</v>
      </c>
      <c r="D27" s="308">
        <v>38664</v>
      </c>
      <c r="E27" s="323">
        <v>41687</v>
      </c>
      <c r="F27" s="323">
        <v>44404</v>
      </c>
      <c r="G27" s="308">
        <v>45235</v>
      </c>
      <c r="H27" s="308">
        <v>47278</v>
      </c>
      <c r="I27" s="308">
        <v>50989</v>
      </c>
      <c r="J27" s="323">
        <v>55199</v>
      </c>
      <c r="K27" s="323">
        <v>59461</v>
      </c>
    </row>
    <row r="28" spans="1:11" ht="11.85" customHeight="1">
      <c r="A28" s="189" t="s">
        <v>54</v>
      </c>
      <c r="B28" s="323">
        <v>147350</v>
      </c>
      <c r="C28" s="323">
        <v>166354</v>
      </c>
      <c r="D28" s="308">
        <v>177344</v>
      </c>
      <c r="E28" s="323">
        <v>175483</v>
      </c>
      <c r="F28" s="323">
        <v>176223</v>
      </c>
      <c r="G28" s="308">
        <v>178335</v>
      </c>
      <c r="H28" s="308">
        <v>188704</v>
      </c>
      <c r="I28" s="308">
        <v>195320</v>
      </c>
      <c r="J28" s="323">
        <v>274416</v>
      </c>
      <c r="K28" s="323">
        <v>299846</v>
      </c>
    </row>
    <row r="29" spans="1:11" ht="11.85" customHeight="1">
      <c r="A29" s="13" t="s">
        <v>3</v>
      </c>
      <c r="B29" s="344"/>
      <c r="C29" s="344"/>
      <c r="D29" s="345"/>
      <c r="E29" s="344"/>
      <c r="F29" s="344"/>
      <c r="G29" s="345"/>
      <c r="H29" s="345"/>
      <c r="I29" s="345"/>
      <c r="J29" s="344"/>
      <c r="K29" s="344"/>
    </row>
    <row r="30" spans="1:11" ht="11.85" customHeight="1">
      <c r="A30" s="189" t="s">
        <v>50</v>
      </c>
      <c r="B30" s="323">
        <v>881854</v>
      </c>
      <c r="C30" s="323">
        <v>957493</v>
      </c>
      <c r="D30" s="308">
        <v>1074221</v>
      </c>
      <c r="E30" s="323">
        <v>1229130</v>
      </c>
      <c r="F30" s="323">
        <v>1391357</v>
      </c>
      <c r="G30" s="308">
        <v>1623605</v>
      </c>
      <c r="H30" s="308">
        <v>1821644</v>
      </c>
      <c r="I30" s="308">
        <v>2042782</v>
      </c>
      <c r="J30" s="323">
        <v>2119787</v>
      </c>
      <c r="K30" s="323">
        <v>2171266</v>
      </c>
    </row>
    <row r="31" spans="1:11" ht="11.85" customHeight="1">
      <c r="A31" s="189" t="s">
        <v>51</v>
      </c>
      <c r="B31" s="323">
        <v>534023</v>
      </c>
      <c r="C31" s="323">
        <v>568242</v>
      </c>
      <c r="D31" s="308">
        <v>618388</v>
      </c>
      <c r="E31" s="323">
        <v>683476</v>
      </c>
      <c r="F31" s="323">
        <v>760704</v>
      </c>
      <c r="G31" s="308">
        <v>873452</v>
      </c>
      <c r="H31" s="308">
        <v>972267</v>
      </c>
      <c r="I31" s="308">
        <v>1089009</v>
      </c>
      <c r="J31" s="323">
        <v>1111098</v>
      </c>
      <c r="K31" s="323">
        <v>1144143</v>
      </c>
    </row>
    <row r="32" spans="1:11" ht="11.85" customHeight="1">
      <c r="A32" s="189" t="s">
        <v>52</v>
      </c>
      <c r="B32" s="323">
        <v>347832</v>
      </c>
      <c r="C32" s="323">
        <v>389251</v>
      </c>
      <c r="D32" s="308">
        <v>455833</v>
      </c>
      <c r="E32" s="323">
        <v>545654</v>
      </c>
      <c r="F32" s="323">
        <v>630653</v>
      </c>
      <c r="G32" s="323">
        <v>750153</v>
      </c>
      <c r="H32" s="323">
        <v>849377</v>
      </c>
      <c r="I32" s="323">
        <v>953773</v>
      </c>
      <c r="J32" s="323">
        <v>1008689</v>
      </c>
      <c r="K32" s="323">
        <v>1027123</v>
      </c>
    </row>
    <row r="33" spans="1:17" ht="11.85" customHeight="1">
      <c r="A33" s="189" t="s">
        <v>20</v>
      </c>
      <c r="B33" s="323">
        <v>106737</v>
      </c>
      <c r="C33" s="323">
        <v>249680</v>
      </c>
      <c r="D33" s="308">
        <v>294488</v>
      </c>
      <c r="E33" s="323">
        <v>352677</v>
      </c>
      <c r="F33" s="323">
        <v>411515</v>
      </c>
      <c r="G33" s="308">
        <v>466792</v>
      </c>
      <c r="H33" s="308">
        <v>508743</v>
      </c>
      <c r="I33" s="308">
        <v>577714</v>
      </c>
      <c r="J33" s="323">
        <v>601215</v>
      </c>
      <c r="K33" s="323">
        <v>604025</v>
      </c>
    </row>
    <row r="34" spans="1:17" ht="11.85" customHeight="1">
      <c r="A34" s="189" t="s">
        <v>54</v>
      </c>
      <c r="B34" s="323">
        <v>241095</v>
      </c>
      <c r="C34" s="323">
        <v>139571</v>
      </c>
      <c r="D34" s="308">
        <v>161345</v>
      </c>
      <c r="E34" s="323">
        <v>192977</v>
      </c>
      <c r="F34" s="323">
        <v>219138</v>
      </c>
      <c r="G34" s="308">
        <v>283362</v>
      </c>
      <c r="H34" s="308">
        <v>340634</v>
      </c>
      <c r="I34" s="308">
        <v>376059</v>
      </c>
      <c r="J34" s="323">
        <v>407474</v>
      </c>
      <c r="K34" s="323">
        <v>423098</v>
      </c>
    </row>
    <row r="35" spans="1:17" ht="11.85" customHeight="1">
      <c r="A35" s="13" t="s">
        <v>129</v>
      </c>
      <c r="B35" s="344"/>
      <c r="C35" s="344"/>
      <c r="D35" s="345"/>
      <c r="E35" s="344"/>
      <c r="F35" s="344"/>
      <c r="G35" s="345"/>
      <c r="H35" s="345"/>
      <c r="I35" s="345"/>
      <c r="J35" s="344"/>
      <c r="K35" s="344"/>
    </row>
    <row r="36" spans="1:17" ht="11.85" customHeight="1">
      <c r="A36" s="189" t="s">
        <v>50</v>
      </c>
      <c r="B36" s="323">
        <v>1127825</v>
      </c>
      <c r="C36" s="323">
        <v>1210257</v>
      </c>
      <c r="D36" s="308">
        <v>1342702</v>
      </c>
      <c r="E36" s="323">
        <v>1465228</v>
      </c>
      <c r="F36" s="323">
        <v>1601688</v>
      </c>
      <c r="G36" s="308">
        <v>1646863</v>
      </c>
      <c r="H36" s="308">
        <v>1865292</v>
      </c>
      <c r="I36" s="308">
        <v>2074916</v>
      </c>
      <c r="J36" s="323">
        <v>2297712</v>
      </c>
      <c r="K36" s="323">
        <v>2412339</v>
      </c>
    </row>
    <row r="37" spans="1:17" ht="11.85" customHeight="1">
      <c r="A37" s="189" t="s">
        <v>51</v>
      </c>
      <c r="B37" s="323">
        <v>544363</v>
      </c>
      <c r="C37" s="323">
        <v>581841</v>
      </c>
      <c r="D37" s="308">
        <v>629142</v>
      </c>
      <c r="E37" s="323">
        <v>702261</v>
      </c>
      <c r="F37" s="323">
        <v>763770</v>
      </c>
      <c r="G37" s="308">
        <v>779289</v>
      </c>
      <c r="H37" s="308">
        <v>912390</v>
      </c>
      <c r="I37" s="308">
        <v>1032472</v>
      </c>
      <c r="J37" s="323">
        <v>1132629</v>
      </c>
      <c r="K37" s="323">
        <v>1192628</v>
      </c>
    </row>
    <row r="38" spans="1:17" ht="11.85" customHeight="1">
      <c r="A38" s="189" t="s">
        <v>52</v>
      </c>
      <c r="B38" s="323">
        <v>583462</v>
      </c>
      <c r="C38" s="323">
        <v>628416</v>
      </c>
      <c r="D38" s="308">
        <v>713561</v>
      </c>
      <c r="E38" s="323">
        <v>762968</v>
      </c>
      <c r="F38" s="323">
        <v>837918</v>
      </c>
      <c r="G38" s="323">
        <v>867574</v>
      </c>
      <c r="H38" s="323">
        <v>952902</v>
      </c>
      <c r="I38" s="323">
        <v>1042444</v>
      </c>
      <c r="J38" s="323">
        <v>1165083</v>
      </c>
      <c r="K38" s="323">
        <v>1219711</v>
      </c>
    </row>
    <row r="39" spans="1:17" ht="11.85" customHeight="1">
      <c r="A39" s="189" t="s">
        <v>20</v>
      </c>
      <c r="B39" s="323">
        <v>183618</v>
      </c>
      <c r="C39" s="323">
        <v>194981</v>
      </c>
      <c r="D39" s="308">
        <v>219946</v>
      </c>
      <c r="E39" s="323">
        <v>275818</v>
      </c>
      <c r="F39" s="323">
        <v>269348</v>
      </c>
      <c r="G39" s="308">
        <v>276466</v>
      </c>
      <c r="H39" s="308">
        <v>287666</v>
      </c>
      <c r="I39" s="308">
        <v>309946</v>
      </c>
      <c r="J39" s="323">
        <v>338126</v>
      </c>
      <c r="K39" s="323">
        <v>357466</v>
      </c>
    </row>
    <row r="40" spans="1:17" ht="11.85" customHeight="1">
      <c r="A40" s="189" t="s">
        <v>54</v>
      </c>
      <c r="B40" s="323">
        <v>399844</v>
      </c>
      <c r="C40" s="323">
        <v>433435</v>
      </c>
      <c r="D40" s="308">
        <v>493615</v>
      </c>
      <c r="E40" s="323">
        <v>487150</v>
      </c>
      <c r="F40" s="323">
        <v>568570</v>
      </c>
      <c r="G40" s="308">
        <v>591107</v>
      </c>
      <c r="H40" s="308">
        <v>665236</v>
      </c>
      <c r="I40" s="308">
        <v>732498</v>
      </c>
      <c r="J40" s="323">
        <v>826957</v>
      </c>
      <c r="K40" s="323">
        <v>862245</v>
      </c>
    </row>
    <row r="41" spans="1:17" ht="11.85" customHeight="1">
      <c r="A41" s="13" t="s">
        <v>9</v>
      </c>
      <c r="B41" s="344"/>
      <c r="C41" s="344"/>
      <c r="D41" s="345"/>
      <c r="E41" s="344"/>
      <c r="F41" s="344"/>
      <c r="G41" s="345"/>
      <c r="H41" s="345"/>
      <c r="I41" s="345"/>
      <c r="J41" s="344"/>
      <c r="K41" s="344"/>
    </row>
    <row r="42" spans="1:17" ht="11.85" customHeight="1">
      <c r="A42" s="189" t="s">
        <v>50</v>
      </c>
      <c r="B42" s="323">
        <v>1340197</v>
      </c>
      <c r="C42" s="323">
        <v>1465950</v>
      </c>
      <c r="D42" s="308">
        <v>1625039</v>
      </c>
      <c r="E42" s="323">
        <v>1880797</v>
      </c>
      <c r="F42" s="323">
        <v>2082170</v>
      </c>
      <c r="G42" s="308">
        <v>1965149</v>
      </c>
      <c r="H42" s="308">
        <v>2307716</v>
      </c>
      <c r="I42" s="308">
        <v>2878259</v>
      </c>
      <c r="J42" s="323">
        <v>3275597</v>
      </c>
      <c r="K42" s="323">
        <v>3484863</v>
      </c>
      <c r="M42" s="308"/>
      <c r="N42" s="308"/>
      <c r="O42" s="308"/>
      <c r="P42" s="323"/>
      <c r="Q42" s="323"/>
    </row>
    <row r="43" spans="1:17" ht="11.85" customHeight="1">
      <c r="A43" s="189" t="s">
        <v>51</v>
      </c>
      <c r="B43" s="323">
        <v>622063</v>
      </c>
      <c r="C43" s="323">
        <v>692098</v>
      </c>
      <c r="D43" s="308">
        <v>762083</v>
      </c>
      <c r="E43" s="323">
        <v>824533</v>
      </c>
      <c r="F43" s="323">
        <v>879340</v>
      </c>
      <c r="G43" s="308">
        <v>808228</v>
      </c>
      <c r="H43" s="308">
        <v>916102</v>
      </c>
      <c r="I43" s="308">
        <v>1103789</v>
      </c>
      <c r="J43" s="323">
        <v>1294952</v>
      </c>
      <c r="K43" s="323">
        <v>1423903</v>
      </c>
      <c r="M43" s="308"/>
      <c r="N43" s="308"/>
      <c r="O43" s="308"/>
      <c r="P43" s="323"/>
      <c r="Q43" s="323"/>
    </row>
    <row r="44" spans="1:17" ht="11.85" customHeight="1">
      <c r="A44" s="189" t="s">
        <v>52</v>
      </c>
      <c r="B44" s="323">
        <v>718135</v>
      </c>
      <c r="C44" s="323">
        <v>773852</v>
      </c>
      <c r="D44" s="308">
        <v>862956</v>
      </c>
      <c r="E44" s="323">
        <v>1056264</v>
      </c>
      <c r="F44" s="323">
        <v>1202830</v>
      </c>
      <c r="G44" s="323">
        <v>1156921</v>
      </c>
      <c r="H44" s="323">
        <v>1391614</v>
      </c>
      <c r="I44" s="323">
        <v>1774470</v>
      </c>
      <c r="J44" s="323">
        <v>1980646</v>
      </c>
      <c r="K44" s="323">
        <v>2060960</v>
      </c>
      <c r="M44" s="323"/>
      <c r="N44" s="323"/>
      <c r="O44" s="323"/>
      <c r="P44" s="323"/>
      <c r="Q44" s="323"/>
    </row>
    <row r="45" spans="1:17" ht="11.85" customHeight="1">
      <c r="A45" s="189" t="s">
        <v>20</v>
      </c>
      <c r="B45" s="323">
        <v>156329</v>
      </c>
      <c r="C45" s="323">
        <v>168813</v>
      </c>
      <c r="D45" s="308">
        <v>191132</v>
      </c>
      <c r="E45" s="323">
        <v>212354</v>
      </c>
      <c r="F45" s="323">
        <v>260947</v>
      </c>
      <c r="G45" s="308">
        <v>229018</v>
      </c>
      <c r="H45" s="308">
        <v>241141</v>
      </c>
      <c r="I45" s="308">
        <v>281793</v>
      </c>
      <c r="J45" s="323">
        <v>316211</v>
      </c>
      <c r="K45" s="323">
        <v>327009</v>
      </c>
      <c r="M45" s="308"/>
      <c r="N45" s="308"/>
      <c r="O45" s="308"/>
      <c r="P45" s="323"/>
      <c r="Q45" s="323"/>
    </row>
    <row r="46" spans="1:17" ht="11.85" customHeight="1">
      <c r="A46" s="189" t="s">
        <v>54</v>
      </c>
      <c r="B46" s="323">
        <v>561806</v>
      </c>
      <c r="C46" s="323">
        <v>605039</v>
      </c>
      <c r="D46" s="308">
        <v>671825</v>
      </c>
      <c r="E46" s="323">
        <v>843909</v>
      </c>
      <c r="F46" s="323">
        <v>941883</v>
      </c>
      <c r="G46" s="308">
        <v>927902</v>
      </c>
      <c r="H46" s="308">
        <v>1150473</v>
      </c>
      <c r="I46" s="308">
        <v>1492677</v>
      </c>
      <c r="J46" s="323">
        <v>1664435</v>
      </c>
      <c r="K46" s="323">
        <v>1733951</v>
      </c>
      <c r="M46" s="308"/>
      <c r="N46" s="308"/>
      <c r="O46" s="308"/>
      <c r="P46" s="323"/>
      <c r="Q46" s="323"/>
    </row>
    <row r="47" spans="1:17" ht="11.85" customHeight="1">
      <c r="A47" s="77" t="s">
        <v>99</v>
      </c>
      <c r="B47" s="344"/>
      <c r="C47" s="344"/>
      <c r="D47" s="345"/>
      <c r="E47" s="344"/>
      <c r="F47" s="344"/>
      <c r="G47" s="345"/>
      <c r="H47" s="345"/>
      <c r="I47" s="345"/>
      <c r="J47" s="344"/>
      <c r="K47" s="344"/>
    </row>
    <row r="48" spans="1:17" ht="11.85" customHeight="1">
      <c r="A48" s="189" t="s">
        <v>50</v>
      </c>
      <c r="B48" s="323">
        <v>172069</v>
      </c>
      <c r="C48" s="323">
        <v>195168</v>
      </c>
      <c r="D48" s="308">
        <v>229019</v>
      </c>
      <c r="E48" s="323">
        <v>277731</v>
      </c>
      <c r="F48" s="323">
        <v>346939</v>
      </c>
      <c r="G48" s="308">
        <v>171968</v>
      </c>
      <c r="H48" s="308">
        <v>288208</v>
      </c>
      <c r="I48" s="308">
        <v>374110</v>
      </c>
      <c r="J48" s="323">
        <v>527190</v>
      </c>
      <c r="K48" s="323">
        <v>688067</v>
      </c>
    </row>
    <row r="49" spans="1:17" ht="11.85" customHeight="1">
      <c r="A49" s="189" t="s">
        <v>51</v>
      </c>
      <c r="B49" s="323">
        <v>111651</v>
      </c>
      <c r="C49" s="323">
        <v>124918</v>
      </c>
      <c r="D49" s="308">
        <v>143766</v>
      </c>
      <c r="E49" s="323">
        <v>177712</v>
      </c>
      <c r="F49" s="323">
        <v>227358</v>
      </c>
      <c r="G49" s="308">
        <v>94125</v>
      </c>
      <c r="H49" s="308">
        <v>154530</v>
      </c>
      <c r="I49" s="308">
        <v>228257</v>
      </c>
      <c r="J49" s="323">
        <v>334044</v>
      </c>
      <c r="K49" s="323">
        <v>433538</v>
      </c>
    </row>
    <row r="50" spans="1:17" ht="11.85" customHeight="1">
      <c r="A50" s="189" t="s">
        <v>52</v>
      </c>
      <c r="B50" s="323">
        <v>60418</v>
      </c>
      <c r="C50" s="323">
        <v>70250</v>
      </c>
      <c r="D50" s="308">
        <v>85252</v>
      </c>
      <c r="E50" s="323">
        <v>100019</v>
      </c>
      <c r="F50" s="323">
        <v>119581</v>
      </c>
      <c r="G50" s="323">
        <v>77843</v>
      </c>
      <c r="H50" s="323">
        <v>133678</v>
      </c>
      <c r="I50" s="323">
        <v>145853</v>
      </c>
      <c r="J50" s="323">
        <v>193146</v>
      </c>
      <c r="K50" s="323">
        <v>254529</v>
      </c>
    </row>
    <row r="51" spans="1:17" ht="11.85" customHeight="1">
      <c r="A51" s="189" t="s">
        <v>20</v>
      </c>
      <c r="B51" s="323">
        <v>32069</v>
      </c>
      <c r="C51" s="323">
        <v>33659</v>
      </c>
      <c r="D51" s="308">
        <v>36388</v>
      </c>
      <c r="E51" s="323">
        <v>39639</v>
      </c>
      <c r="F51" s="323">
        <v>43274</v>
      </c>
      <c r="G51" s="308">
        <v>37318</v>
      </c>
      <c r="H51" s="308">
        <v>46380</v>
      </c>
      <c r="I51" s="308">
        <v>57928</v>
      </c>
      <c r="J51" s="323">
        <v>73643</v>
      </c>
      <c r="K51" s="323">
        <v>79364</v>
      </c>
    </row>
    <row r="52" spans="1:17" ht="11.85" customHeight="1">
      <c r="A52" s="190" t="s">
        <v>54</v>
      </c>
      <c r="B52" s="323">
        <v>28349</v>
      </c>
      <c r="C52" s="323">
        <v>36591</v>
      </c>
      <c r="D52" s="308">
        <v>48864</v>
      </c>
      <c r="E52" s="323">
        <v>60380</v>
      </c>
      <c r="F52" s="323">
        <v>76307</v>
      </c>
      <c r="G52" s="308">
        <v>40526</v>
      </c>
      <c r="H52" s="308">
        <v>87298</v>
      </c>
      <c r="I52" s="308">
        <v>87925</v>
      </c>
      <c r="J52" s="323">
        <v>119502</v>
      </c>
      <c r="K52" s="323">
        <v>175166</v>
      </c>
    </row>
    <row r="53" spans="1:17" ht="11.85" customHeight="1">
      <c r="A53" s="13" t="s">
        <v>101</v>
      </c>
      <c r="B53" s="344"/>
      <c r="C53" s="344"/>
      <c r="D53" s="345"/>
      <c r="E53" s="344"/>
      <c r="F53" s="344"/>
      <c r="G53" s="345"/>
      <c r="H53" s="345"/>
      <c r="I53" s="345"/>
      <c r="J53" s="344"/>
      <c r="K53" s="344"/>
    </row>
    <row r="54" spans="1:17" ht="11.85" customHeight="1">
      <c r="A54" s="189" t="s">
        <v>50</v>
      </c>
      <c r="B54" s="323">
        <v>390008</v>
      </c>
      <c r="C54" s="323">
        <v>432139</v>
      </c>
      <c r="D54" s="308">
        <v>462013</v>
      </c>
      <c r="E54" s="323">
        <v>494269</v>
      </c>
      <c r="F54" s="323">
        <v>522622</v>
      </c>
      <c r="G54" s="308">
        <v>529809</v>
      </c>
      <c r="H54" s="308">
        <v>564818</v>
      </c>
      <c r="I54" s="308">
        <v>604851</v>
      </c>
      <c r="J54" s="323">
        <v>647555</v>
      </c>
      <c r="K54" s="323">
        <v>701267</v>
      </c>
    </row>
    <row r="55" spans="1:17" ht="11.85" customHeight="1">
      <c r="A55" s="189" t="s">
        <v>51</v>
      </c>
      <c r="B55" s="323">
        <v>206994</v>
      </c>
      <c r="C55" s="323">
        <v>225384</v>
      </c>
      <c r="D55" s="308">
        <v>238516</v>
      </c>
      <c r="E55" s="323">
        <v>254149</v>
      </c>
      <c r="F55" s="323">
        <v>265203</v>
      </c>
      <c r="G55" s="308">
        <v>254989</v>
      </c>
      <c r="H55" s="308">
        <v>273381</v>
      </c>
      <c r="I55" s="308">
        <v>289118</v>
      </c>
      <c r="J55" s="323">
        <v>308103</v>
      </c>
      <c r="K55" s="323">
        <v>336724</v>
      </c>
    </row>
    <row r="56" spans="1:17" ht="11.85" customHeight="1">
      <c r="A56" s="189" t="s">
        <v>52</v>
      </c>
      <c r="B56" s="323">
        <v>183015</v>
      </c>
      <c r="C56" s="323">
        <v>206755</v>
      </c>
      <c r="D56" s="308">
        <v>223497</v>
      </c>
      <c r="E56" s="323">
        <v>240120</v>
      </c>
      <c r="F56" s="323">
        <v>257419</v>
      </c>
      <c r="G56" s="323">
        <v>274820</v>
      </c>
      <c r="H56" s="323">
        <v>291437</v>
      </c>
      <c r="I56" s="323">
        <v>315733</v>
      </c>
      <c r="J56" s="323">
        <v>339452</v>
      </c>
      <c r="K56" s="323">
        <v>364542</v>
      </c>
    </row>
    <row r="57" spans="1:17" ht="11.85" customHeight="1">
      <c r="A57" s="189" t="s">
        <v>20</v>
      </c>
      <c r="B57" s="323">
        <v>65247</v>
      </c>
      <c r="C57" s="323">
        <v>74563</v>
      </c>
      <c r="D57" s="308">
        <v>83750</v>
      </c>
      <c r="E57" s="323">
        <v>95133</v>
      </c>
      <c r="F57" s="323">
        <v>101835</v>
      </c>
      <c r="G57" s="308">
        <v>97419</v>
      </c>
      <c r="H57" s="308">
        <v>113037</v>
      </c>
      <c r="I57" s="308">
        <v>125856</v>
      </c>
      <c r="J57" s="323">
        <v>137330</v>
      </c>
      <c r="K57" s="323">
        <v>149780</v>
      </c>
    </row>
    <row r="58" spans="1:17" ht="11.85" customHeight="1">
      <c r="A58" s="190" t="s">
        <v>54</v>
      </c>
      <c r="B58" s="323">
        <v>117767</v>
      </c>
      <c r="C58" s="323">
        <v>132192</v>
      </c>
      <c r="D58" s="308">
        <v>139747</v>
      </c>
      <c r="E58" s="323">
        <v>144987</v>
      </c>
      <c r="F58" s="323">
        <v>155584</v>
      </c>
      <c r="G58" s="308">
        <v>177402</v>
      </c>
      <c r="H58" s="308">
        <v>178399</v>
      </c>
      <c r="I58" s="308">
        <v>189877</v>
      </c>
      <c r="J58" s="323">
        <v>202122</v>
      </c>
      <c r="K58" s="323">
        <v>214763</v>
      </c>
    </row>
    <row r="59" spans="1:17" ht="11.85" customHeight="1">
      <c r="A59" s="174" t="s">
        <v>92</v>
      </c>
      <c r="B59" s="344"/>
      <c r="C59" s="344"/>
      <c r="D59" s="345"/>
      <c r="E59" s="344"/>
      <c r="F59" s="344"/>
      <c r="G59" s="345"/>
      <c r="H59" s="345"/>
      <c r="I59" s="345"/>
      <c r="J59" s="344"/>
      <c r="K59" s="344"/>
    </row>
    <row r="60" spans="1:17" ht="11.85" customHeight="1">
      <c r="A60" s="190" t="s">
        <v>50</v>
      </c>
      <c r="B60" s="323">
        <v>700701</v>
      </c>
      <c r="C60" s="323">
        <v>802729</v>
      </c>
      <c r="D60" s="308">
        <v>865756</v>
      </c>
      <c r="E60" s="323">
        <v>864482</v>
      </c>
      <c r="F60" s="323">
        <v>924259</v>
      </c>
      <c r="G60" s="308">
        <v>966412</v>
      </c>
      <c r="H60" s="308">
        <v>1123965</v>
      </c>
      <c r="I60" s="308">
        <v>1294274</v>
      </c>
      <c r="J60" s="323">
        <v>1491345</v>
      </c>
      <c r="K60" s="323">
        <v>1614214</v>
      </c>
      <c r="M60" s="308"/>
      <c r="N60" s="308"/>
      <c r="O60" s="308"/>
      <c r="P60" s="323"/>
      <c r="Q60" s="323"/>
    </row>
    <row r="61" spans="1:17" ht="11.85" customHeight="1">
      <c r="A61" s="190" t="s">
        <v>51</v>
      </c>
      <c r="B61" s="323">
        <v>208825</v>
      </c>
      <c r="C61" s="323">
        <v>213806</v>
      </c>
      <c r="D61" s="308">
        <v>231667</v>
      </c>
      <c r="E61" s="323">
        <v>241858</v>
      </c>
      <c r="F61" s="323">
        <v>256557</v>
      </c>
      <c r="G61" s="308">
        <v>243354</v>
      </c>
      <c r="H61" s="308">
        <v>263339</v>
      </c>
      <c r="I61" s="308">
        <v>293669</v>
      </c>
      <c r="J61" s="323">
        <v>312249</v>
      </c>
      <c r="K61" s="323">
        <v>329373</v>
      </c>
      <c r="M61" s="308"/>
      <c r="N61" s="308"/>
      <c r="O61" s="308"/>
      <c r="P61" s="323"/>
      <c r="Q61" s="323"/>
    </row>
    <row r="62" spans="1:17" ht="11.85" customHeight="1">
      <c r="A62" s="190" t="s">
        <v>52</v>
      </c>
      <c r="B62" s="323">
        <v>491876</v>
      </c>
      <c r="C62" s="323">
        <v>588924</v>
      </c>
      <c r="D62" s="308">
        <v>634089</v>
      </c>
      <c r="E62" s="323">
        <v>622625</v>
      </c>
      <c r="F62" s="323">
        <v>667702</v>
      </c>
      <c r="G62" s="323">
        <v>723059</v>
      </c>
      <c r="H62" s="323">
        <v>860626</v>
      </c>
      <c r="I62" s="323">
        <v>1000605</v>
      </c>
      <c r="J62" s="323">
        <v>1179097</v>
      </c>
      <c r="K62" s="323">
        <v>1284840</v>
      </c>
      <c r="M62" s="323"/>
      <c r="N62" s="323"/>
      <c r="O62" s="323"/>
      <c r="P62" s="323"/>
      <c r="Q62" s="323"/>
    </row>
    <row r="63" spans="1:17" ht="11.85" customHeight="1">
      <c r="A63" s="190" t="s">
        <v>20</v>
      </c>
      <c r="B63" s="308">
        <v>116113</v>
      </c>
      <c r="C63" s="308">
        <v>124345</v>
      </c>
      <c r="D63" s="308">
        <v>135322</v>
      </c>
      <c r="E63" s="308">
        <v>136427</v>
      </c>
      <c r="F63" s="308">
        <v>147642</v>
      </c>
      <c r="G63" s="308">
        <v>149376</v>
      </c>
      <c r="H63" s="308">
        <v>161999</v>
      </c>
      <c r="I63" s="308">
        <v>178658</v>
      </c>
      <c r="J63" s="308">
        <v>203328</v>
      </c>
      <c r="K63" s="308">
        <v>222033</v>
      </c>
    </row>
    <row r="64" spans="1:17" ht="11.85" customHeight="1">
      <c r="A64" s="191" t="s">
        <v>54</v>
      </c>
      <c r="B64" s="346">
        <v>375763</v>
      </c>
      <c r="C64" s="346">
        <v>464579</v>
      </c>
      <c r="D64" s="346">
        <v>498767</v>
      </c>
      <c r="E64" s="346">
        <v>486198</v>
      </c>
      <c r="F64" s="346">
        <v>520059</v>
      </c>
      <c r="G64" s="346">
        <v>573683</v>
      </c>
      <c r="H64" s="346">
        <v>698628</v>
      </c>
      <c r="I64" s="346">
        <v>821947</v>
      </c>
      <c r="J64" s="346">
        <v>975768</v>
      </c>
      <c r="K64" s="346">
        <v>1062807</v>
      </c>
    </row>
    <row r="65" spans="1:15" ht="16.350000000000001" customHeight="1">
      <c r="A65" s="99" t="s">
        <v>195</v>
      </c>
      <c r="B65" s="196"/>
      <c r="C65" s="196"/>
      <c r="D65" s="195"/>
      <c r="E65" s="196"/>
      <c r="F65" s="196"/>
      <c r="G65" s="196"/>
      <c r="H65" s="196"/>
      <c r="I65" s="196"/>
      <c r="J65" s="196"/>
      <c r="K65" s="196"/>
    </row>
    <row r="66" spans="1:15" ht="11.85" customHeight="1">
      <c r="A66" s="101"/>
      <c r="B66" s="196"/>
      <c r="C66" s="196"/>
      <c r="D66" s="197"/>
      <c r="E66" s="196"/>
      <c r="F66" s="195"/>
      <c r="G66" s="198"/>
      <c r="H66" s="150"/>
      <c r="I66" s="150"/>
      <c r="J66" s="196"/>
      <c r="K66" s="196"/>
    </row>
    <row r="67" spans="1:15" ht="11.85" customHeight="1">
      <c r="A67" s="178" t="s">
        <v>0</v>
      </c>
      <c r="B67" s="104">
        <v>2015</v>
      </c>
      <c r="C67" s="104">
        <v>2016</v>
      </c>
      <c r="D67" s="104">
        <v>2017</v>
      </c>
      <c r="E67" s="104">
        <v>2018</v>
      </c>
      <c r="F67" s="104">
        <v>2019</v>
      </c>
      <c r="G67" s="104">
        <v>2020</v>
      </c>
      <c r="H67" s="104">
        <v>2021</v>
      </c>
      <c r="I67" s="104" t="s">
        <v>200</v>
      </c>
      <c r="J67" s="104" t="s">
        <v>201</v>
      </c>
      <c r="K67" s="104" t="s">
        <v>182</v>
      </c>
    </row>
    <row r="68" spans="1:15" ht="11.85" customHeight="1">
      <c r="A68" s="13" t="s">
        <v>93</v>
      </c>
      <c r="B68" s="193"/>
      <c r="C68" s="193"/>
      <c r="D68" s="194"/>
      <c r="E68" s="193"/>
      <c r="F68" s="193"/>
      <c r="G68" s="194"/>
      <c r="H68" s="194"/>
      <c r="I68" s="194"/>
      <c r="J68" s="193"/>
      <c r="K68" s="193"/>
    </row>
    <row r="69" spans="1:15" ht="11.85" customHeight="1">
      <c r="A69" s="189" t="s">
        <v>50</v>
      </c>
      <c r="B69" s="308">
        <v>677327</v>
      </c>
      <c r="C69" s="308">
        <v>774891</v>
      </c>
      <c r="D69" s="308">
        <v>864898</v>
      </c>
      <c r="E69" s="308">
        <v>962638</v>
      </c>
      <c r="F69" s="308">
        <v>1035989</v>
      </c>
      <c r="G69" s="308">
        <v>1092311</v>
      </c>
      <c r="H69" s="308">
        <v>1183865</v>
      </c>
      <c r="I69" s="308">
        <v>1268938</v>
      </c>
      <c r="J69" s="308">
        <v>1399021</v>
      </c>
      <c r="K69" s="308">
        <v>1504286</v>
      </c>
      <c r="L69" s="359"/>
      <c r="M69" s="359"/>
      <c r="N69" s="359"/>
      <c r="O69" s="204"/>
    </row>
    <row r="70" spans="1:15" ht="11.85" customHeight="1">
      <c r="A70" s="189" t="s">
        <v>51</v>
      </c>
      <c r="B70" s="308">
        <v>57600</v>
      </c>
      <c r="C70" s="308">
        <v>69014</v>
      </c>
      <c r="D70" s="308">
        <v>72383</v>
      </c>
      <c r="E70" s="308">
        <v>81016</v>
      </c>
      <c r="F70" s="308">
        <v>89257</v>
      </c>
      <c r="G70" s="308">
        <v>96108</v>
      </c>
      <c r="H70" s="308">
        <v>107268</v>
      </c>
      <c r="I70" s="308">
        <v>120217</v>
      </c>
      <c r="J70" s="308">
        <v>133883</v>
      </c>
      <c r="K70" s="308">
        <v>144002</v>
      </c>
      <c r="L70" s="359"/>
      <c r="M70" s="359"/>
      <c r="N70" s="359"/>
      <c r="O70" s="204"/>
    </row>
    <row r="71" spans="1:15" ht="11.85" customHeight="1">
      <c r="A71" s="189" t="s">
        <v>52</v>
      </c>
      <c r="B71" s="323">
        <v>619728</v>
      </c>
      <c r="C71" s="323">
        <v>705877</v>
      </c>
      <c r="D71" s="308">
        <v>792515</v>
      </c>
      <c r="E71" s="323">
        <v>881622</v>
      </c>
      <c r="F71" s="323">
        <v>946732</v>
      </c>
      <c r="G71" s="323">
        <v>996203</v>
      </c>
      <c r="H71" s="323">
        <v>1076597</v>
      </c>
      <c r="I71" s="323">
        <v>1148722</v>
      </c>
      <c r="J71" s="323">
        <v>1265138</v>
      </c>
      <c r="K71" s="323">
        <v>1360285</v>
      </c>
      <c r="L71" s="359"/>
      <c r="M71" s="359"/>
      <c r="N71" s="359"/>
      <c r="O71" s="204"/>
    </row>
    <row r="72" spans="1:15" ht="11.85" customHeight="1">
      <c r="A72" s="189" t="s">
        <v>20</v>
      </c>
      <c r="B72" s="323">
        <v>56066</v>
      </c>
      <c r="C72" s="323">
        <v>64030</v>
      </c>
      <c r="D72" s="308">
        <v>71424</v>
      </c>
      <c r="E72" s="323">
        <v>79475</v>
      </c>
      <c r="F72" s="323">
        <v>85478</v>
      </c>
      <c r="G72" s="308">
        <v>90172</v>
      </c>
      <c r="H72" s="308">
        <v>97674</v>
      </c>
      <c r="I72" s="308">
        <v>104732</v>
      </c>
      <c r="J72" s="323">
        <v>115387</v>
      </c>
      <c r="K72" s="323">
        <v>124093</v>
      </c>
      <c r="L72" s="359"/>
      <c r="M72" s="359"/>
      <c r="N72" s="359"/>
      <c r="O72" s="204"/>
    </row>
    <row r="73" spans="1:15" ht="11.85" customHeight="1">
      <c r="A73" s="189" t="s">
        <v>54</v>
      </c>
      <c r="B73" s="323">
        <v>563661</v>
      </c>
      <c r="C73" s="323">
        <v>641847</v>
      </c>
      <c r="D73" s="308">
        <v>721092</v>
      </c>
      <c r="E73" s="323">
        <v>802147</v>
      </c>
      <c r="F73" s="323">
        <v>861254</v>
      </c>
      <c r="G73" s="308">
        <v>906030</v>
      </c>
      <c r="H73" s="308">
        <v>978923</v>
      </c>
      <c r="I73" s="308">
        <v>1043990</v>
      </c>
      <c r="J73" s="323">
        <v>1149751</v>
      </c>
      <c r="K73" s="323">
        <v>1236191</v>
      </c>
      <c r="L73" s="359"/>
      <c r="M73" s="359"/>
      <c r="N73" s="359"/>
      <c r="O73" s="204"/>
    </row>
    <row r="74" spans="1:15" ht="11.85" customHeight="1">
      <c r="A74" s="13" t="s">
        <v>94</v>
      </c>
      <c r="B74" s="323"/>
      <c r="C74" s="323"/>
      <c r="D74" s="308"/>
      <c r="E74" s="323"/>
      <c r="F74" s="323"/>
      <c r="G74" s="308"/>
      <c r="H74" s="308"/>
      <c r="I74" s="308"/>
      <c r="J74" s="323"/>
      <c r="K74" s="323"/>
      <c r="L74" s="359"/>
      <c r="M74" s="359"/>
      <c r="N74" s="359"/>
      <c r="O74" s="204"/>
    </row>
    <row r="75" spans="1:15" ht="11.85" customHeight="1">
      <c r="A75" s="189" t="s">
        <v>50</v>
      </c>
      <c r="B75" s="323">
        <v>198104</v>
      </c>
      <c r="C75" s="323">
        <v>211855</v>
      </c>
      <c r="D75" s="308">
        <v>226977</v>
      </c>
      <c r="E75" s="323">
        <v>244043</v>
      </c>
      <c r="F75" s="323">
        <v>262094</v>
      </c>
      <c r="G75" s="308">
        <v>238960</v>
      </c>
      <c r="H75" s="308">
        <v>270685</v>
      </c>
      <c r="I75" s="308">
        <v>291196</v>
      </c>
      <c r="J75" s="323">
        <v>326662</v>
      </c>
      <c r="K75" s="323">
        <v>354306</v>
      </c>
      <c r="L75" s="359"/>
      <c r="M75" s="359"/>
      <c r="N75" s="359"/>
      <c r="O75" s="204"/>
    </row>
    <row r="76" spans="1:15" ht="11.85" customHeight="1">
      <c r="A76" s="189" t="s">
        <v>51</v>
      </c>
      <c r="B76" s="323">
        <v>61907</v>
      </c>
      <c r="C76" s="323">
        <v>65230</v>
      </c>
      <c r="D76" s="308">
        <v>72656</v>
      </c>
      <c r="E76" s="323">
        <v>80084</v>
      </c>
      <c r="F76" s="323">
        <v>86212</v>
      </c>
      <c r="G76" s="308">
        <v>79455</v>
      </c>
      <c r="H76" s="308">
        <v>91427</v>
      </c>
      <c r="I76" s="308">
        <v>102667</v>
      </c>
      <c r="J76" s="323">
        <v>118568</v>
      </c>
      <c r="K76" s="323">
        <v>121917</v>
      </c>
      <c r="L76" s="359"/>
      <c r="M76" s="359"/>
      <c r="N76" s="359"/>
      <c r="O76" s="204"/>
    </row>
    <row r="77" spans="1:15" ht="11.85" customHeight="1">
      <c r="A77" s="189" t="s">
        <v>52</v>
      </c>
      <c r="B77" s="323">
        <v>136197</v>
      </c>
      <c r="C77" s="323">
        <v>146624</v>
      </c>
      <c r="D77" s="308">
        <v>154320</v>
      </c>
      <c r="E77" s="323">
        <v>163959</v>
      </c>
      <c r="F77" s="323">
        <v>175882</v>
      </c>
      <c r="G77" s="308">
        <v>159505</v>
      </c>
      <c r="H77" s="308">
        <v>179258</v>
      </c>
      <c r="I77" s="308">
        <v>188529</v>
      </c>
      <c r="J77" s="323">
        <v>208094</v>
      </c>
      <c r="K77" s="323">
        <v>232389</v>
      </c>
      <c r="L77" s="359"/>
      <c r="M77" s="359"/>
      <c r="N77" s="359"/>
      <c r="O77" s="204"/>
    </row>
    <row r="78" spans="1:15" ht="11.85" customHeight="1">
      <c r="A78" s="189" t="s">
        <v>20</v>
      </c>
      <c r="B78" s="323">
        <v>35060</v>
      </c>
      <c r="C78" s="323">
        <v>38388</v>
      </c>
      <c r="D78" s="308">
        <v>41550</v>
      </c>
      <c r="E78" s="323">
        <v>44352</v>
      </c>
      <c r="F78" s="323">
        <v>49186</v>
      </c>
      <c r="G78" s="308">
        <v>48115</v>
      </c>
      <c r="H78" s="308">
        <v>51355</v>
      </c>
      <c r="I78" s="308">
        <v>56010</v>
      </c>
      <c r="J78" s="323">
        <v>59468</v>
      </c>
      <c r="K78" s="323">
        <v>62718</v>
      </c>
      <c r="L78" s="359"/>
      <c r="M78" s="359"/>
      <c r="N78" s="359"/>
      <c r="O78" s="204"/>
    </row>
    <row r="79" spans="1:15" ht="11.85" customHeight="1">
      <c r="A79" s="189" t="s">
        <v>54</v>
      </c>
      <c r="B79" s="323">
        <v>101137</v>
      </c>
      <c r="C79" s="323">
        <v>108236</v>
      </c>
      <c r="D79" s="308">
        <v>112770</v>
      </c>
      <c r="E79" s="323">
        <v>119607</v>
      </c>
      <c r="F79" s="323">
        <v>126696</v>
      </c>
      <c r="G79" s="308">
        <v>111390</v>
      </c>
      <c r="H79" s="308">
        <v>127904</v>
      </c>
      <c r="I79" s="308">
        <v>132519</v>
      </c>
      <c r="J79" s="323">
        <v>148626</v>
      </c>
      <c r="K79" s="323">
        <v>169671</v>
      </c>
      <c r="L79" s="359"/>
      <c r="M79" s="359"/>
      <c r="N79" s="359"/>
      <c r="O79" s="204"/>
    </row>
    <row r="80" spans="1:15" ht="11.85" customHeight="1">
      <c r="A80" s="13" t="s">
        <v>95</v>
      </c>
      <c r="B80" s="323"/>
      <c r="C80" s="323"/>
      <c r="D80" s="308"/>
      <c r="E80" s="323"/>
      <c r="F80" s="323"/>
      <c r="G80" s="308"/>
      <c r="H80" s="308"/>
      <c r="I80" s="308"/>
      <c r="J80" s="323"/>
      <c r="K80" s="323"/>
      <c r="L80" s="359"/>
      <c r="M80" s="359"/>
      <c r="N80" s="359"/>
      <c r="O80" s="204"/>
    </row>
    <row r="81" spans="1:17" ht="11.85" customHeight="1">
      <c r="A81" s="189" t="s">
        <v>50</v>
      </c>
      <c r="B81" s="323">
        <v>105524</v>
      </c>
      <c r="C81" s="323">
        <v>113022</v>
      </c>
      <c r="D81" s="308">
        <v>120522</v>
      </c>
      <c r="E81" s="323">
        <v>139970</v>
      </c>
      <c r="F81" s="323">
        <v>155697</v>
      </c>
      <c r="G81" s="308">
        <v>132645</v>
      </c>
      <c r="H81" s="308">
        <v>152420</v>
      </c>
      <c r="I81" s="308">
        <v>191310</v>
      </c>
      <c r="J81" s="323">
        <v>233491</v>
      </c>
      <c r="K81" s="323">
        <v>258106</v>
      </c>
      <c r="L81" s="359"/>
      <c r="M81" s="308"/>
      <c r="N81" s="308"/>
      <c r="O81" s="308"/>
      <c r="P81" s="323"/>
      <c r="Q81" s="323"/>
    </row>
    <row r="82" spans="1:17" ht="11.85" customHeight="1">
      <c r="A82" s="189" t="s">
        <v>51</v>
      </c>
      <c r="B82" s="323">
        <v>32681</v>
      </c>
      <c r="C82" s="323">
        <v>35197</v>
      </c>
      <c r="D82" s="308">
        <v>37093</v>
      </c>
      <c r="E82" s="323">
        <v>42468</v>
      </c>
      <c r="F82" s="323">
        <v>46822</v>
      </c>
      <c r="G82" s="308">
        <v>39913</v>
      </c>
      <c r="H82" s="308">
        <v>46762</v>
      </c>
      <c r="I82" s="308">
        <v>60692</v>
      </c>
      <c r="J82" s="323">
        <v>79195</v>
      </c>
      <c r="K82" s="323">
        <v>85769</v>
      </c>
      <c r="L82" s="359"/>
      <c r="M82" s="308"/>
      <c r="N82" s="308"/>
      <c r="O82" s="308"/>
      <c r="P82" s="323"/>
      <c r="Q82" s="323"/>
    </row>
    <row r="83" spans="1:17" ht="11.85" customHeight="1">
      <c r="A83" s="189" t="s">
        <v>52</v>
      </c>
      <c r="B83" s="323">
        <v>72843</v>
      </c>
      <c r="C83" s="323">
        <v>77825</v>
      </c>
      <c r="D83" s="308">
        <v>83429</v>
      </c>
      <c r="E83" s="323">
        <v>97502</v>
      </c>
      <c r="F83" s="323">
        <v>108875</v>
      </c>
      <c r="G83" s="308">
        <v>92732</v>
      </c>
      <c r="H83" s="308">
        <v>105657</v>
      </c>
      <c r="I83" s="308">
        <v>130618</v>
      </c>
      <c r="J83" s="323">
        <v>154296</v>
      </c>
      <c r="K83" s="323">
        <v>172337</v>
      </c>
      <c r="L83" s="359"/>
      <c r="M83" s="308"/>
      <c r="N83" s="308"/>
      <c r="O83" s="308"/>
      <c r="P83" s="323"/>
      <c r="Q83" s="323"/>
    </row>
    <row r="84" spans="1:17" ht="11.85" customHeight="1">
      <c r="A84" s="189" t="s">
        <v>20</v>
      </c>
      <c r="B84" s="323">
        <v>38137</v>
      </c>
      <c r="C84" s="323">
        <v>41487</v>
      </c>
      <c r="D84" s="308">
        <v>47152</v>
      </c>
      <c r="E84" s="323">
        <v>52843</v>
      </c>
      <c r="F84" s="323">
        <v>59424</v>
      </c>
      <c r="G84" s="308">
        <v>50296</v>
      </c>
      <c r="H84" s="308">
        <v>60720</v>
      </c>
      <c r="I84" s="308">
        <v>69244</v>
      </c>
      <c r="J84" s="323">
        <v>76237</v>
      </c>
      <c r="K84" s="323">
        <v>79431</v>
      </c>
      <c r="L84" s="359"/>
      <c r="M84" s="308"/>
      <c r="N84" s="308"/>
      <c r="O84" s="308"/>
      <c r="P84" s="323"/>
      <c r="Q84" s="323"/>
    </row>
    <row r="85" spans="1:17" ht="11.85" customHeight="1">
      <c r="A85" s="189" t="s">
        <v>54</v>
      </c>
      <c r="B85" s="323">
        <v>34706</v>
      </c>
      <c r="C85" s="323">
        <v>36338</v>
      </c>
      <c r="D85" s="308">
        <v>36277</v>
      </c>
      <c r="E85" s="323">
        <v>44660</v>
      </c>
      <c r="F85" s="323">
        <v>49451</v>
      </c>
      <c r="G85" s="308">
        <v>42436</v>
      </c>
      <c r="H85" s="308">
        <v>44938</v>
      </c>
      <c r="I85" s="308">
        <v>61374</v>
      </c>
      <c r="J85" s="323">
        <v>78059</v>
      </c>
      <c r="K85" s="323">
        <v>92905</v>
      </c>
      <c r="L85" s="359"/>
      <c r="M85" s="308"/>
      <c r="N85" s="308"/>
      <c r="O85" s="308"/>
      <c r="P85" s="323"/>
      <c r="Q85" s="323"/>
    </row>
    <row r="86" spans="1:17" ht="11.85" customHeight="1">
      <c r="A86" s="13" t="s">
        <v>16</v>
      </c>
      <c r="B86" s="344"/>
      <c r="C86" s="344"/>
      <c r="D86" s="345"/>
      <c r="E86" s="344"/>
      <c r="F86" s="344"/>
      <c r="G86" s="345"/>
      <c r="H86" s="345"/>
      <c r="I86" s="345"/>
      <c r="J86" s="344"/>
      <c r="K86" s="344"/>
      <c r="L86" s="359"/>
      <c r="M86" s="359"/>
      <c r="N86" s="359"/>
      <c r="O86" s="204"/>
    </row>
    <row r="87" spans="1:17" ht="11.85" customHeight="1">
      <c r="A87" s="189" t="s">
        <v>50</v>
      </c>
      <c r="B87" s="323">
        <v>591772</v>
      </c>
      <c r="C87" s="323">
        <v>641838</v>
      </c>
      <c r="D87" s="308">
        <v>705300</v>
      </c>
      <c r="E87" s="323">
        <v>776606</v>
      </c>
      <c r="F87" s="323">
        <v>847824</v>
      </c>
      <c r="G87" s="308">
        <v>925967</v>
      </c>
      <c r="H87" s="308">
        <v>991830</v>
      </c>
      <c r="I87" s="308">
        <v>1152117</v>
      </c>
      <c r="J87" s="323">
        <v>1249866</v>
      </c>
      <c r="K87" s="323">
        <v>1227085</v>
      </c>
      <c r="L87" s="359"/>
      <c r="M87" s="308"/>
      <c r="N87" s="308"/>
      <c r="O87" s="308"/>
      <c r="P87" s="323"/>
      <c r="Q87" s="323"/>
    </row>
    <row r="88" spans="1:17" ht="11.85" customHeight="1">
      <c r="A88" s="189" t="s">
        <v>51</v>
      </c>
      <c r="B88" s="323">
        <v>208624</v>
      </c>
      <c r="C88" s="323">
        <v>231739</v>
      </c>
      <c r="D88" s="308">
        <v>262338</v>
      </c>
      <c r="E88" s="323">
        <v>283425</v>
      </c>
      <c r="F88" s="323">
        <v>306458</v>
      </c>
      <c r="G88" s="308">
        <v>333344</v>
      </c>
      <c r="H88" s="308">
        <v>356844</v>
      </c>
      <c r="I88" s="308">
        <v>476363</v>
      </c>
      <c r="J88" s="323">
        <v>518748</v>
      </c>
      <c r="K88" s="323">
        <v>419756</v>
      </c>
      <c r="L88" s="359"/>
      <c r="M88" s="308"/>
      <c r="N88" s="308"/>
      <c r="O88" s="308"/>
      <c r="P88" s="323"/>
      <c r="Q88" s="323"/>
    </row>
    <row r="89" spans="1:17" ht="11.85" customHeight="1">
      <c r="A89" s="189" t="s">
        <v>52</v>
      </c>
      <c r="B89" s="323">
        <v>383147</v>
      </c>
      <c r="C89" s="323">
        <v>410099</v>
      </c>
      <c r="D89" s="308">
        <v>442962</v>
      </c>
      <c r="E89" s="323">
        <v>493180</v>
      </c>
      <c r="F89" s="323">
        <v>541367</v>
      </c>
      <c r="G89" s="323">
        <v>592623</v>
      </c>
      <c r="H89" s="323">
        <v>634986</v>
      </c>
      <c r="I89" s="323">
        <v>675754</v>
      </c>
      <c r="J89" s="323">
        <v>731118</v>
      </c>
      <c r="K89" s="323">
        <v>807329</v>
      </c>
      <c r="L89" s="359"/>
      <c r="M89" s="323"/>
      <c r="N89" s="323"/>
      <c r="O89" s="323"/>
      <c r="P89" s="323"/>
      <c r="Q89" s="323"/>
    </row>
    <row r="90" spans="1:17" ht="11.85" customHeight="1">
      <c r="A90" s="189" t="s">
        <v>20</v>
      </c>
      <c r="B90" s="323">
        <v>294061</v>
      </c>
      <c r="C90" s="323">
        <v>316324</v>
      </c>
      <c r="D90" s="308">
        <v>334221</v>
      </c>
      <c r="E90" s="323">
        <v>367384</v>
      </c>
      <c r="F90" s="323">
        <v>412289</v>
      </c>
      <c r="G90" s="308">
        <v>456036</v>
      </c>
      <c r="H90" s="308">
        <v>488701</v>
      </c>
      <c r="I90" s="308">
        <v>518973</v>
      </c>
      <c r="J90" s="323">
        <v>557807</v>
      </c>
      <c r="K90" s="323">
        <v>605897</v>
      </c>
      <c r="L90" s="359"/>
      <c r="M90" s="308"/>
      <c r="N90" s="308"/>
      <c r="O90" s="308"/>
      <c r="P90" s="323"/>
      <c r="Q90" s="323"/>
    </row>
    <row r="91" spans="1:17" ht="11.85" customHeight="1">
      <c r="A91" s="189" t="s">
        <v>54</v>
      </c>
      <c r="B91" s="323">
        <v>89086</v>
      </c>
      <c r="C91" s="323">
        <v>93775</v>
      </c>
      <c r="D91" s="308">
        <v>108741</v>
      </c>
      <c r="E91" s="323">
        <v>125797</v>
      </c>
      <c r="F91" s="323">
        <v>129078</v>
      </c>
      <c r="G91" s="308">
        <v>136587</v>
      </c>
      <c r="H91" s="308">
        <v>146284</v>
      </c>
      <c r="I91" s="308">
        <v>156780</v>
      </c>
      <c r="J91" s="323">
        <v>173311</v>
      </c>
      <c r="K91" s="323">
        <v>201432</v>
      </c>
      <c r="L91" s="359"/>
      <c r="M91" s="308"/>
      <c r="N91" s="308"/>
      <c r="O91" s="308"/>
      <c r="P91" s="323"/>
      <c r="Q91" s="323"/>
    </row>
    <row r="92" spans="1:17" ht="11.85" customHeight="1">
      <c r="A92" s="13" t="s">
        <v>12</v>
      </c>
      <c r="B92" s="344"/>
      <c r="C92" s="344"/>
      <c r="D92" s="345"/>
      <c r="E92" s="344"/>
      <c r="F92" s="344"/>
      <c r="G92" s="345"/>
      <c r="H92" s="345"/>
      <c r="I92" s="345"/>
      <c r="J92" s="344"/>
      <c r="K92" s="344"/>
      <c r="L92" s="359"/>
      <c r="M92" s="359"/>
      <c r="N92" s="359"/>
      <c r="O92" s="204"/>
    </row>
    <row r="93" spans="1:17" ht="11.85" customHeight="1">
      <c r="A93" s="189" t="s">
        <v>50</v>
      </c>
      <c r="B93" s="323">
        <v>472016</v>
      </c>
      <c r="C93" s="323">
        <v>510767</v>
      </c>
      <c r="D93" s="308">
        <v>550958</v>
      </c>
      <c r="E93" s="323">
        <v>603676</v>
      </c>
      <c r="F93" s="323">
        <v>649507</v>
      </c>
      <c r="G93" s="308">
        <v>580723</v>
      </c>
      <c r="H93" s="308">
        <v>746279</v>
      </c>
      <c r="I93" s="308">
        <v>806577</v>
      </c>
      <c r="J93" s="323">
        <v>867672</v>
      </c>
      <c r="K93" s="323">
        <v>945500</v>
      </c>
      <c r="L93" s="359"/>
      <c r="M93" s="308"/>
      <c r="N93" s="308"/>
      <c r="O93" s="308"/>
      <c r="P93" s="323"/>
      <c r="Q93" s="323"/>
    </row>
    <row r="94" spans="1:17" ht="11.85" customHeight="1">
      <c r="A94" s="189" t="s">
        <v>51</v>
      </c>
      <c r="B94" s="323">
        <v>157653</v>
      </c>
      <c r="C94" s="323">
        <v>172756</v>
      </c>
      <c r="D94" s="308">
        <v>185481</v>
      </c>
      <c r="E94" s="323">
        <v>204161</v>
      </c>
      <c r="F94" s="323">
        <v>217632</v>
      </c>
      <c r="G94" s="308">
        <v>167632</v>
      </c>
      <c r="H94" s="308">
        <v>224334</v>
      </c>
      <c r="I94" s="308">
        <v>261479</v>
      </c>
      <c r="J94" s="323">
        <v>290645</v>
      </c>
      <c r="K94" s="323">
        <v>321502</v>
      </c>
      <c r="L94" s="359"/>
      <c r="M94" s="308"/>
      <c r="N94" s="308"/>
      <c r="O94" s="308"/>
      <c r="P94" s="323"/>
      <c r="Q94" s="323"/>
    </row>
    <row r="95" spans="1:17" ht="11.85" customHeight="1">
      <c r="A95" s="189" t="s">
        <v>52</v>
      </c>
      <c r="B95" s="323">
        <v>314363</v>
      </c>
      <c r="C95" s="323">
        <v>338011</v>
      </c>
      <c r="D95" s="308">
        <v>365477</v>
      </c>
      <c r="E95" s="323">
        <v>399515</v>
      </c>
      <c r="F95" s="323">
        <v>431876</v>
      </c>
      <c r="G95" s="323">
        <v>413090</v>
      </c>
      <c r="H95" s="323">
        <v>521945</v>
      </c>
      <c r="I95" s="323">
        <v>545098</v>
      </c>
      <c r="J95" s="323">
        <v>577027</v>
      </c>
      <c r="K95" s="323">
        <v>623998</v>
      </c>
      <c r="L95" s="359"/>
      <c r="M95" s="323"/>
      <c r="N95" s="323"/>
      <c r="O95" s="323"/>
      <c r="P95" s="323"/>
      <c r="Q95" s="323"/>
    </row>
    <row r="96" spans="1:17" ht="11.85" customHeight="1">
      <c r="A96" s="189" t="s">
        <v>20</v>
      </c>
      <c r="B96" s="323">
        <v>257614</v>
      </c>
      <c r="C96" s="323">
        <v>279235</v>
      </c>
      <c r="D96" s="308">
        <v>314695</v>
      </c>
      <c r="E96" s="323">
        <v>358634</v>
      </c>
      <c r="F96" s="323">
        <v>384784</v>
      </c>
      <c r="G96" s="308">
        <v>379703</v>
      </c>
      <c r="H96" s="308">
        <v>475187</v>
      </c>
      <c r="I96" s="308">
        <v>503285</v>
      </c>
      <c r="J96" s="323">
        <v>536383</v>
      </c>
      <c r="K96" s="323">
        <v>577173</v>
      </c>
      <c r="L96" s="359"/>
      <c r="M96" s="308"/>
      <c r="N96" s="308"/>
      <c r="O96" s="308"/>
      <c r="P96" s="323"/>
      <c r="Q96" s="323"/>
    </row>
    <row r="97" spans="1:17" ht="11.85" customHeight="1">
      <c r="A97" s="189" t="s">
        <v>54</v>
      </c>
      <c r="B97" s="323">
        <v>56749</v>
      </c>
      <c r="C97" s="323">
        <v>58775</v>
      </c>
      <c r="D97" s="308">
        <v>50783</v>
      </c>
      <c r="E97" s="323">
        <v>40881</v>
      </c>
      <c r="F97" s="323">
        <v>47092</v>
      </c>
      <c r="G97" s="308">
        <v>33387</v>
      </c>
      <c r="H97" s="308">
        <v>46758</v>
      </c>
      <c r="I97" s="308">
        <v>41813</v>
      </c>
      <c r="J97" s="323">
        <v>40645</v>
      </c>
      <c r="K97" s="323">
        <v>46825</v>
      </c>
      <c r="L97" s="359"/>
      <c r="M97" s="308"/>
      <c r="N97" s="308"/>
      <c r="O97" s="308"/>
      <c r="P97" s="323"/>
      <c r="Q97" s="323"/>
    </row>
    <row r="98" spans="1:17" ht="11.85" customHeight="1">
      <c r="A98" s="13" t="s">
        <v>13</v>
      </c>
      <c r="B98" s="344"/>
      <c r="C98" s="344"/>
      <c r="D98" s="345"/>
      <c r="E98" s="344"/>
      <c r="F98" s="344"/>
      <c r="G98" s="345"/>
      <c r="H98" s="345"/>
      <c r="I98" s="345"/>
      <c r="J98" s="344"/>
      <c r="K98" s="344"/>
      <c r="L98" s="359"/>
      <c r="M98" s="359"/>
      <c r="N98" s="359"/>
      <c r="O98" s="204"/>
    </row>
    <row r="99" spans="1:17" ht="11.85" customHeight="1">
      <c r="A99" s="189" t="s">
        <v>50</v>
      </c>
      <c r="B99" s="323">
        <v>230161</v>
      </c>
      <c r="C99" s="323">
        <v>258388</v>
      </c>
      <c r="D99" s="308">
        <v>285712</v>
      </c>
      <c r="E99" s="323">
        <v>300200</v>
      </c>
      <c r="F99" s="323">
        <v>317761</v>
      </c>
      <c r="G99" s="308">
        <v>333696</v>
      </c>
      <c r="H99" s="308">
        <v>377934</v>
      </c>
      <c r="I99" s="308">
        <v>388786</v>
      </c>
      <c r="J99" s="323">
        <v>416627</v>
      </c>
      <c r="K99" s="323">
        <v>457033</v>
      </c>
      <c r="L99" s="359"/>
      <c r="M99" s="308"/>
      <c r="N99" s="308"/>
      <c r="O99" s="308"/>
      <c r="P99" s="323"/>
      <c r="Q99" s="323"/>
    </row>
    <row r="100" spans="1:17" ht="11.85" customHeight="1">
      <c r="A100" s="189" t="s">
        <v>51</v>
      </c>
      <c r="B100" s="323">
        <v>93937</v>
      </c>
      <c r="C100" s="323">
        <v>101541</v>
      </c>
      <c r="D100" s="308">
        <v>109901</v>
      </c>
      <c r="E100" s="323">
        <v>111422</v>
      </c>
      <c r="F100" s="323">
        <v>119793</v>
      </c>
      <c r="G100" s="308">
        <v>120731</v>
      </c>
      <c r="H100" s="308">
        <v>139390</v>
      </c>
      <c r="I100" s="308">
        <v>146437</v>
      </c>
      <c r="J100" s="323">
        <v>157486</v>
      </c>
      <c r="K100" s="323">
        <v>176524</v>
      </c>
      <c r="L100" s="359"/>
      <c r="M100" s="308"/>
      <c r="N100" s="308"/>
      <c r="O100" s="308"/>
      <c r="P100" s="323"/>
      <c r="Q100" s="323"/>
    </row>
    <row r="101" spans="1:17" ht="11.85" customHeight="1">
      <c r="A101" s="189" t="s">
        <v>52</v>
      </c>
      <c r="B101" s="323">
        <v>136224</v>
      </c>
      <c r="C101" s="323">
        <v>156846</v>
      </c>
      <c r="D101" s="308">
        <v>175811</v>
      </c>
      <c r="E101" s="323">
        <v>188778</v>
      </c>
      <c r="F101" s="323">
        <v>197969</v>
      </c>
      <c r="G101" s="323">
        <v>212966</v>
      </c>
      <c r="H101" s="323">
        <v>238544</v>
      </c>
      <c r="I101" s="323">
        <v>242349</v>
      </c>
      <c r="J101" s="323">
        <v>259141</v>
      </c>
      <c r="K101" s="323">
        <v>280509</v>
      </c>
      <c r="L101" s="359"/>
      <c r="M101" s="323"/>
      <c r="N101" s="323"/>
      <c r="O101" s="323"/>
      <c r="P101" s="323"/>
      <c r="Q101" s="323"/>
    </row>
    <row r="102" spans="1:17" ht="11.85" customHeight="1">
      <c r="A102" s="189" t="s">
        <v>20</v>
      </c>
      <c r="B102" s="323">
        <v>103999</v>
      </c>
      <c r="C102" s="323">
        <v>115224</v>
      </c>
      <c r="D102" s="308">
        <v>126234</v>
      </c>
      <c r="E102" s="323">
        <v>138350</v>
      </c>
      <c r="F102" s="323">
        <v>149924</v>
      </c>
      <c r="G102" s="308">
        <v>166258</v>
      </c>
      <c r="H102" s="308">
        <v>175628</v>
      </c>
      <c r="I102" s="308">
        <v>175353</v>
      </c>
      <c r="J102" s="323">
        <v>183922</v>
      </c>
      <c r="K102" s="323">
        <v>192208</v>
      </c>
      <c r="L102" s="359"/>
      <c r="M102" s="308"/>
      <c r="N102" s="308"/>
      <c r="O102" s="308"/>
      <c r="P102" s="323"/>
      <c r="Q102" s="323"/>
    </row>
    <row r="103" spans="1:17" ht="11.85" customHeight="1">
      <c r="A103" s="189" t="s">
        <v>54</v>
      </c>
      <c r="B103" s="323">
        <v>32226</v>
      </c>
      <c r="C103" s="323">
        <v>41622</v>
      </c>
      <c r="D103" s="308">
        <v>49577</v>
      </c>
      <c r="E103" s="323">
        <v>50427</v>
      </c>
      <c r="F103" s="323">
        <v>48045</v>
      </c>
      <c r="G103" s="308">
        <v>46708</v>
      </c>
      <c r="H103" s="308">
        <v>62916</v>
      </c>
      <c r="I103" s="308">
        <v>66996</v>
      </c>
      <c r="J103" s="323">
        <v>75219</v>
      </c>
      <c r="K103" s="323">
        <v>88301</v>
      </c>
      <c r="L103" s="359"/>
      <c r="M103" s="308"/>
      <c r="N103" s="308"/>
      <c r="O103" s="308"/>
      <c r="P103" s="323"/>
      <c r="Q103" s="323"/>
    </row>
    <row r="104" spans="1:17" ht="11.85" customHeight="1">
      <c r="A104" s="15" t="s">
        <v>97</v>
      </c>
      <c r="B104" s="344"/>
      <c r="C104" s="344"/>
      <c r="D104" s="345"/>
      <c r="E104" s="344"/>
      <c r="F104" s="344"/>
      <c r="G104" s="345"/>
      <c r="H104" s="345"/>
      <c r="I104" s="345"/>
      <c r="J104" s="344"/>
      <c r="K104" s="344"/>
      <c r="L104" s="359"/>
      <c r="M104" s="359"/>
      <c r="N104" s="359"/>
      <c r="O104" s="204"/>
    </row>
    <row r="105" spans="1:17" ht="11.85" customHeight="1">
      <c r="A105" s="189" t="s">
        <v>50</v>
      </c>
      <c r="B105" s="323">
        <v>204426</v>
      </c>
      <c r="C105" s="323">
        <v>228131</v>
      </c>
      <c r="D105" s="308">
        <v>253783</v>
      </c>
      <c r="E105" s="323">
        <v>278112</v>
      </c>
      <c r="F105" s="323">
        <v>296751</v>
      </c>
      <c r="G105" s="308">
        <v>265897</v>
      </c>
      <c r="H105" s="308">
        <v>301489</v>
      </c>
      <c r="I105" s="308">
        <v>331843</v>
      </c>
      <c r="J105" s="323">
        <v>361534</v>
      </c>
      <c r="K105" s="323">
        <v>392866</v>
      </c>
      <c r="L105" s="359"/>
      <c r="M105" s="359"/>
      <c r="N105" s="359"/>
      <c r="O105" s="204"/>
    </row>
    <row r="106" spans="1:17" ht="11.85" customHeight="1">
      <c r="A106" s="189" t="s">
        <v>51</v>
      </c>
      <c r="B106" s="323">
        <v>39572</v>
      </c>
      <c r="C106" s="323">
        <v>45025</v>
      </c>
      <c r="D106" s="308">
        <v>49328</v>
      </c>
      <c r="E106" s="323">
        <v>52323</v>
      </c>
      <c r="F106" s="323">
        <v>55884</v>
      </c>
      <c r="G106" s="308">
        <v>49512</v>
      </c>
      <c r="H106" s="308">
        <v>58912</v>
      </c>
      <c r="I106" s="308">
        <v>66785</v>
      </c>
      <c r="J106" s="323">
        <v>73976</v>
      </c>
      <c r="K106" s="323">
        <v>81584</v>
      </c>
      <c r="L106" s="359"/>
      <c r="M106" s="359"/>
      <c r="N106" s="359"/>
      <c r="O106" s="204"/>
    </row>
    <row r="107" spans="1:17" ht="11.85" customHeight="1">
      <c r="A107" s="189" t="s">
        <v>52</v>
      </c>
      <c r="B107" s="323">
        <v>164854</v>
      </c>
      <c r="C107" s="323">
        <v>183105</v>
      </c>
      <c r="D107" s="308">
        <v>204455</v>
      </c>
      <c r="E107" s="323">
        <v>225790</v>
      </c>
      <c r="F107" s="323">
        <v>240867</v>
      </c>
      <c r="G107" s="323">
        <v>216385</v>
      </c>
      <c r="H107" s="323">
        <v>242577</v>
      </c>
      <c r="I107" s="323">
        <v>265059</v>
      </c>
      <c r="J107" s="323">
        <v>287558</v>
      </c>
      <c r="K107" s="323">
        <v>311282</v>
      </c>
      <c r="L107" s="359"/>
      <c r="M107" s="359"/>
      <c r="N107" s="359"/>
      <c r="O107" s="204"/>
    </row>
    <row r="108" spans="1:17" ht="11.85" customHeight="1">
      <c r="A108" s="189" t="s">
        <v>20</v>
      </c>
      <c r="B108" s="323">
        <v>84892</v>
      </c>
      <c r="C108" s="323">
        <v>92703</v>
      </c>
      <c r="D108" s="308">
        <v>103213</v>
      </c>
      <c r="E108" s="323">
        <v>114218</v>
      </c>
      <c r="F108" s="323">
        <v>122698</v>
      </c>
      <c r="G108" s="308">
        <v>122588</v>
      </c>
      <c r="H108" s="308">
        <v>132818</v>
      </c>
      <c r="I108" s="308">
        <v>143571</v>
      </c>
      <c r="J108" s="323">
        <v>156715</v>
      </c>
      <c r="K108" s="323">
        <v>169110</v>
      </c>
      <c r="L108" s="359"/>
      <c r="M108" s="359"/>
      <c r="N108" s="359"/>
      <c r="O108" s="204"/>
    </row>
    <row r="109" spans="1:17" ht="11.85" customHeight="1">
      <c r="A109" s="189" t="s">
        <v>54</v>
      </c>
      <c r="B109" s="323">
        <v>79962</v>
      </c>
      <c r="C109" s="323">
        <v>90402</v>
      </c>
      <c r="D109" s="308">
        <v>101242</v>
      </c>
      <c r="E109" s="323">
        <v>111571</v>
      </c>
      <c r="F109" s="323">
        <v>118168</v>
      </c>
      <c r="G109" s="308">
        <v>93796</v>
      </c>
      <c r="H109" s="308">
        <v>109758</v>
      </c>
      <c r="I109" s="308">
        <v>121487</v>
      </c>
      <c r="J109" s="323">
        <v>130843</v>
      </c>
      <c r="K109" s="323">
        <v>142172</v>
      </c>
      <c r="L109" s="359"/>
      <c r="M109" s="359"/>
      <c r="N109" s="359"/>
      <c r="O109" s="204"/>
    </row>
    <row r="110" spans="1:17" ht="11.85" customHeight="1">
      <c r="A110" s="15" t="s">
        <v>7</v>
      </c>
      <c r="B110" s="344"/>
      <c r="C110" s="344"/>
      <c r="D110" s="345"/>
      <c r="E110" s="344"/>
      <c r="F110" s="344"/>
      <c r="G110" s="345"/>
      <c r="H110" s="345"/>
      <c r="I110" s="345"/>
      <c r="J110" s="344"/>
      <c r="K110" s="344"/>
      <c r="L110" s="360"/>
      <c r="M110" s="360"/>
      <c r="N110" s="360"/>
      <c r="O110" s="204"/>
    </row>
    <row r="111" spans="1:17" ht="11.85" customHeight="1">
      <c r="A111" s="189" t="s">
        <v>51</v>
      </c>
      <c r="B111" s="323">
        <v>216100</v>
      </c>
      <c r="C111" s="323">
        <v>260609</v>
      </c>
      <c r="D111" s="308">
        <v>241384</v>
      </c>
      <c r="E111" s="323">
        <v>215414</v>
      </c>
      <c r="F111" s="323">
        <v>226631</v>
      </c>
      <c r="G111" s="308">
        <v>218639</v>
      </c>
      <c r="H111" s="308">
        <v>244592</v>
      </c>
      <c r="I111" s="308">
        <v>259642</v>
      </c>
      <c r="J111" s="323">
        <v>323769</v>
      </c>
      <c r="K111" s="323">
        <v>322512</v>
      </c>
      <c r="L111" s="359"/>
      <c r="M111" s="308"/>
      <c r="N111" s="308"/>
      <c r="O111" s="308"/>
      <c r="P111" s="323"/>
      <c r="Q111" s="323"/>
    </row>
    <row r="112" spans="1:17" ht="11.85" customHeight="1">
      <c r="A112" s="189" t="s">
        <v>52</v>
      </c>
      <c r="B112" s="323">
        <v>-216100</v>
      </c>
      <c r="C112" s="323">
        <v>-260609</v>
      </c>
      <c r="D112" s="308">
        <v>-241384</v>
      </c>
      <c r="E112" s="323">
        <v>-215414</v>
      </c>
      <c r="F112" s="323">
        <v>-226631</v>
      </c>
      <c r="G112" s="323">
        <v>-218639</v>
      </c>
      <c r="H112" s="323">
        <v>-244592</v>
      </c>
      <c r="I112" s="323">
        <v>-259642</v>
      </c>
      <c r="J112" s="323">
        <v>-323769</v>
      </c>
      <c r="K112" s="323">
        <v>-322512</v>
      </c>
      <c r="L112" s="359"/>
      <c r="M112" s="323"/>
      <c r="N112" s="323"/>
      <c r="O112" s="323"/>
      <c r="P112" s="323"/>
      <c r="Q112" s="323"/>
    </row>
    <row r="113" spans="1:17" ht="11.85" customHeight="1">
      <c r="A113" s="15" t="s">
        <v>5</v>
      </c>
      <c r="B113" s="344"/>
      <c r="C113" s="344"/>
      <c r="D113" s="345"/>
      <c r="E113" s="344"/>
      <c r="F113" s="344"/>
      <c r="G113" s="344"/>
      <c r="H113" s="344"/>
      <c r="I113" s="344"/>
      <c r="J113" s="344"/>
      <c r="K113" s="344"/>
      <c r="L113" s="359"/>
      <c r="M113" s="359"/>
      <c r="N113" s="359"/>
      <c r="O113" s="204"/>
    </row>
    <row r="114" spans="1:17" ht="11.85" customHeight="1">
      <c r="A114" s="189" t="s">
        <v>50</v>
      </c>
      <c r="B114" s="323">
        <v>11049962</v>
      </c>
      <c r="C114" s="323">
        <v>12056820</v>
      </c>
      <c r="D114" s="308">
        <v>13286275</v>
      </c>
      <c r="E114" s="323">
        <v>14440159</v>
      </c>
      <c r="F114" s="323">
        <v>15741892</v>
      </c>
      <c r="G114" s="323">
        <v>16219541</v>
      </c>
      <c r="H114" s="323">
        <v>18344393</v>
      </c>
      <c r="I114" s="323">
        <v>20924435</v>
      </c>
      <c r="J114" s="323">
        <v>23364070</v>
      </c>
      <c r="K114" s="323">
        <v>25053793</v>
      </c>
      <c r="L114" s="359"/>
      <c r="M114" s="359"/>
      <c r="N114" s="359"/>
      <c r="O114" s="204"/>
    </row>
    <row r="115" spans="1:17" ht="11.85" customHeight="1">
      <c r="A115" s="189" t="s">
        <v>51</v>
      </c>
      <c r="B115" s="323">
        <v>4760716</v>
      </c>
      <c r="C115" s="323">
        <v>5130165</v>
      </c>
      <c r="D115" s="308">
        <v>5531952</v>
      </c>
      <c r="E115" s="323">
        <v>5908657</v>
      </c>
      <c r="F115" s="323">
        <v>6370494</v>
      </c>
      <c r="G115" s="323">
        <v>6357394</v>
      </c>
      <c r="H115" s="323">
        <v>7312937</v>
      </c>
      <c r="I115" s="323">
        <v>8506749</v>
      </c>
      <c r="J115" s="323">
        <v>9548916</v>
      </c>
      <c r="K115" s="323">
        <v>10085699</v>
      </c>
      <c r="L115" s="359"/>
      <c r="M115" s="359"/>
      <c r="N115" s="359"/>
      <c r="O115" s="204"/>
    </row>
    <row r="116" spans="1:17" ht="11.85" customHeight="1">
      <c r="A116" s="189" t="s">
        <v>52</v>
      </c>
      <c r="B116" s="323">
        <v>6289246</v>
      </c>
      <c r="C116" s="323">
        <v>6926656</v>
      </c>
      <c r="D116" s="308">
        <v>7754323</v>
      </c>
      <c r="E116" s="323">
        <v>8531502</v>
      </c>
      <c r="F116" s="323">
        <v>9371397</v>
      </c>
      <c r="G116" s="323">
        <v>9862147</v>
      </c>
      <c r="H116" s="323">
        <v>11031456</v>
      </c>
      <c r="I116" s="323">
        <v>12417686</v>
      </c>
      <c r="J116" s="323">
        <v>13815154</v>
      </c>
      <c r="K116" s="323">
        <v>14968094</v>
      </c>
      <c r="L116" s="359"/>
      <c r="M116" s="359"/>
      <c r="N116" s="359"/>
      <c r="O116" s="204"/>
    </row>
    <row r="117" spans="1:17" ht="11.85" customHeight="1">
      <c r="A117" s="189" t="s">
        <v>53</v>
      </c>
      <c r="B117" s="323">
        <v>174712</v>
      </c>
      <c r="C117" s="323">
        <v>211532</v>
      </c>
      <c r="D117" s="308">
        <v>224819</v>
      </c>
      <c r="E117" s="323">
        <v>246468</v>
      </c>
      <c r="F117" s="323">
        <v>260331</v>
      </c>
      <c r="G117" s="308">
        <v>269279</v>
      </c>
      <c r="H117" s="308">
        <v>312861</v>
      </c>
      <c r="I117" s="308">
        <v>317519</v>
      </c>
      <c r="J117" s="323">
        <v>319841</v>
      </c>
      <c r="K117" s="323">
        <v>326489</v>
      </c>
      <c r="L117" s="359"/>
      <c r="M117" s="359"/>
      <c r="N117" s="359"/>
      <c r="O117" s="204"/>
    </row>
    <row r="118" spans="1:17" ht="11.85" customHeight="1">
      <c r="A118" s="189" t="s">
        <v>56</v>
      </c>
      <c r="B118" s="323"/>
      <c r="C118" s="323"/>
      <c r="D118" s="308"/>
      <c r="E118" s="323"/>
      <c r="F118" s="323"/>
      <c r="G118" s="308"/>
      <c r="H118" s="308"/>
      <c r="I118" s="308"/>
      <c r="J118" s="323"/>
      <c r="K118" s="323"/>
      <c r="L118" s="360"/>
      <c r="M118" s="360"/>
      <c r="N118" s="360"/>
      <c r="O118" s="204"/>
    </row>
    <row r="119" spans="1:17" ht="11.85" customHeight="1">
      <c r="A119" s="189" t="s">
        <v>20</v>
      </c>
      <c r="B119" s="323">
        <v>1853414</v>
      </c>
      <c r="C119" s="323">
        <v>2131816</v>
      </c>
      <c r="D119" s="308">
        <v>2396166</v>
      </c>
      <c r="E119" s="323">
        <v>2694738</v>
      </c>
      <c r="F119" s="323">
        <v>2960366</v>
      </c>
      <c r="G119" s="308">
        <v>3053605</v>
      </c>
      <c r="H119" s="308">
        <v>3350072</v>
      </c>
      <c r="I119" s="308">
        <v>3668440</v>
      </c>
      <c r="J119" s="323">
        <v>3975009</v>
      </c>
      <c r="K119" s="323">
        <v>4227393</v>
      </c>
      <c r="L119" s="359"/>
      <c r="M119" s="308"/>
      <c r="N119" s="308"/>
      <c r="O119" s="308"/>
      <c r="P119" s="323"/>
      <c r="Q119" s="323"/>
    </row>
    <row r="120" spans="1:17" ht="11.85" customHeight="1">
      <c r="A120" s="189" t="s">
        <v>54</v>
      </c>
      <c r="B120" s="323">
        <v>4261120</v>
      </c>
      <c r="C120" s="323">
        <v>4583307</v>
      </c>
      <c r="D120" s="308">
        <v>5133338</v>
      </c>
      <c r="E120" s="323">
        <v>5590296</v>
      </c>
      <c r="F120" s="323">
        <v>6150701</v>
      </c>
      <c r="G120" s="308">
        <v>6539262</v>
      </c>
      <c r="H120" s="308">
        <v>7368523</v>
      </c>
      <c r="I120" s="308">
        <v>8431727</v>
      </c>
      <c r="J120" s="323">
        <v>9520303</v>
      </c>
      <c r="K120" s="323">
        <v>10414212</v>
      </c>
      <c r="L120" s="359"/>
      <c r="M120" s="308"/>
      <c r="N120" s="308"/>
      <c r="O120" s="308"/>
      <c r="P120" s="323"/>
      <c r="Q120" s="323"/>
    </row>
    <row r="121" spans="1:17" ht="11.85" customHeight="1">
      <c r="A121" s="15" t="s">
        <v>57</v>
      </c>
      <c r="B121" s="344"/>
      <c r="C121" s="344"/>
      <c r="D121" s="345"/>
      <c r="E121" s="344"/>
      <c r="F121" s="344"/>
      <c r="G121" s="344"/>
      <c r="H121" s="344"/>
      <c r="I121" s="344"/>
      <c r="J121" s="344"/>
      <c r="K121" s="344"/>
    </row>
    <row r="122" spans="1:17" ht="11.85" customHeight="1">
      <c r="A122" s="189" t="s">
        <v>50</v>
      </c>
      <c r="B122" s="323">
        <v>11049962</v>
      </c>
      <c r="C122" s="323">
        <v>12056820</v>
      </c>
      <c r="D122" s="323">
        <v>13286275</v>
      </c>
      <c r="E122" s="323">
        <v>14440159</v>
      </c>
      <c r="F122" s="323">
        <v>15741892</v>
      </c>
      <c r="G122" s="323">
        <v>16219541</v>
      </c>
      <c r="H122" s="323">
        <v>18344393</v>
      </c>
      <c r="I122" s="323">
        <v>20924435</v>
      </c>
      <c r="J122" s="323">
        <v>23364070</v>
      </c>
      <c r="K122" s="323">
        <v>25053793</v>
      </c>
    </row>
    <row r="123" spans="1:17" ht="11.85" customHeight="1">
      <c r="A123" s="189" t="s">
        <v>58</v>
      </c>
      <c r="B123" s="323">
        <v>595080</v>
      </c>
      <c r="C123" s="323">
        <v>667408</v>
      </c>
      <c r="D123" s="323">
        <v>729074</v>
      </c>
      <c r="E123" s="323">
        <v>808805</v>
      </c>
      <c r="F123" s="323">
        <v>866330</v>
      </c>
      <c r="G123" s="323">
        <v>852923</v>
      </c>
      <c r="H123" s="323">
        <v>996206</v>
      </c>
      <c r="I123" s="323">
        <v>1071956</v>
      </c>
      <c r="J123" s="323">
        <v>1218456</v>
      </c>
      <c r="K123" s="323">
        <v>1256384</v>
      </c>
    </row>
    <row r="124" spans="1:17" ht="11.85" customHeight="1">
      <c r="A124" s="189" t="s">
        <v>51</v>
      </c>
      <c r="B124" s="323">
        <v>4760716</v>
      </c>
      <c r="C124" s="323">
        <v>5130165</v>
      </c>
      <c r="D124" s="323">
        <v>5531952</v>
      </c>
      <c r="E124" s="323">
        <v>5908657</v>
      </c>
      <c r="F124" s="323">
        <v>6370494</v>
      </c>
      <c r="G124" s="323">
        <v>6357394</v>
      </c>
      <c r="H124" s="323">
        <v>7312937</v>
      </c>
      <c r="I124" s="323">
        <v>8506749</v>
      </c>
      <c r="J124" s="323">
        <v>9548916</v>
      </c>
      <c r="K124" s="323">
        <v>10085699</v>
      </c>
    </row>
    <row r="125" spans="1:17" ht="11.85" customHeight="1">
      <c r="A125" s="189" t="s">
        <v>6</v>
      </c>
      <c r="B125" s="323">
        <v>6884326</v>
      </c>
      <c r="C125" s="323">
        <v>7594064</v>
      </c>
      <c r="D125" s="323">
        <v>8483397</v>
      </c>
      <c r="E125" s="323">
        <v>9340307</v>
      </c>
      <c r="F125" s="323">
        <v>10237727</v>
      </c>
      <c r="G125" s="323">
        <v>10715070</v>
      </c>
      <c r="H125" s="323">
        <v>12027662</v>
      </c>
      <c r="I125" s="323">
        <v>13489642</v>
      </c>
      <c r="J125" s="323">
        <v>15033610</v>
      </c>
      <c r="K125" s="323">
        <v>16224478</v>
      </c>
    </row>
    <row r="126" spans="1:17" ht="11.85" customHeight="1">
      <c r="A126" s="189" t="s">
        <v>53</v>
      </c>
      <c r="B126" s="323">
        <v>174712</v>
      </c>
      <c r="C126" s="323">
        <v>211532</v>
      </c>
      <c r="D126" s="323">
        <v>224819</v>
      </c>
      <c r="E126" s="323">
        <v>246468</v>
      </c>
      <c r="F126" s="323">
        <v>260331</v>
      </c>
      <c r="G126" s="323">
        <v>269279</v>
      </c>
      <c r="H126" s="323">
        <v>312861</v>
      </c>
      <c r="I126" s="323">
        <v>317519</v>
      </c>
      <c r="J126" s="323">
        <v>319841</v>
      </c>
      <c r="K126" s="323">
        <v>326489</v>
      </c>
    </row>
    <row r="127" spans="1:17" ht="11.85" customHeight="1">
      <c r="A127" s="190" t="s">
        <v>56</v>
      </c>
      <c r="B127" s="323"/>
      <c r="C127" s="323"/>
      <c r="D127" s="323"/>
      <c r="E127" s="323"/>
      <c r="F127" s="323"/>
      <c r="G127" s="323"/>
      <c r="H127" s="323"/>
      <c r="I127" s="323"/>
      <c r="J127" s="323"/>
      <c r="K127" s="323"/>
    </row>
    <row r="128" spans="1:17" ht="11.85" customHeight="1">
      <c r="A128" s="190" t="s">
        <v>20</v>
      </c>
      <c r="B128" s="323">
        <v>1853414</v>
      </c>
      <c r="C128" s="323">
        <v>2131816</v>
      </c>
      <c r="D128" s="323">
        <v>2396166</v>
      </c>
      <c r="E128" s="323">
        <v>2694738</v>
      </c>
      <c r="F128" s="323">
        <v>2960366</v>
      </c>
      <c r="G128" s="323">
        <v>3053605</v>
      </c>
      <c r="H128" s="323">
        <v>3350072</v>
      </c>
      <c r="I128" s="323">
        <v>3668440</v>
      </c>
      <c r="J128" s="323">
        <v>3975009</v>
      </c>
      <c r="K128" s="323">
        <v>4227393</v>
      </c>
    </row>
    <row r="129" spans="1:11" ht="11.85" customHeight="1">
      <c r="A129" s="191" t="s">
        <v>54</v>
      </c>
      <c r="B129" s="346">
        <v>4261120</v>
      </c>
      <c r="C129" s="346">
        <v>4583307</v>
      </c>
      <c r="D129" s="346">
        <v>5133338</v>
      </c>
      <c r="E129" s="346">
        <v>5590296</v>
      </c>
      <c r="F129" s="346">
        <v>6150701</v>
      </c>
      <c r="G129" s="346">
        <v>6539262</v>
      </c>
      <c r="H129" s="346">
        <v>7368523</v>
      </c>
      <c r="I129" s="346">
        <v>8431727</v>
      </c>
      <c r="J129" s="346">
        <v>9520303</v>
      </c>
      <c r="K129" s="346">
        <v>10414212</v>
      </c>
    </row>
    <row r="130" spans="1:11" s="17" customFormat="1" ht="11.85" customHeight="1">
      <c r="A130" s="363" t="s">
        <v>18</v>
      </c>
      <c r="B130" s="78"/>
      <c r="C130" s="78"/>
      <c r="D130" s="78"/>
      <c r="E130" s="78"/>
      <c r="F130" s="78"/>
      <c r="G130" s="78"/>
      <c r="H130" s="78"/>
      <c r="I130" s="78"/>
      <c r="J130" s="78"/>
      <c r="K130" s="78"/>
    </row>
    <row r="131" spans="1:11" s="17" customFormat="1" ht="11.85" customHeight="1">
      <c r="A131" s="364" t="s">
        <v>202</v>
      </c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</row>
    <row r="132" spans="1:11" s="17" customFormat="1" ht="11.8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ht="11.85" customHeight="1">
      <c r="D133" s="180"/>
    </row>
  </sheetData>
  <pageMargins left="0.74803149606299202" right="0.23622047244094499" top="0.74803149606299202" bottom="0.511811023622047" header="0.196850393700787" footer="0.23622047244094499"/>
  <pageSetup paperSize="9" scale="52" firstPageNumber="8" fitToHeight="2" orientation="portrait" useFirstPageNumber="1" r:id="rId1"/>
  <rowBreaks count="1" manualBreakCount="1">
    <brk id="65" max="14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showGridLines="0" zoomScale="78" zoomScaleNormal="78" zoomScaleSheetLayoutView="100" workbookViewId="0">
      <pane xSplit="1" ySplit="4" topLeftCell="B20" activePane="bottomRight" state="frozen"/>
      <selection activeCell="C46" sqref="C46"/>
      <selection pane="topRight" activeCell="C46" sqref="C46"/>
      <selection pane="bottomLeft" activeCell="C46" sqref="C46"/>
      <selection pane="bottomRight" sqref="A1:K47"/>
    </sheetView>
  </sheetViews>
  <sheetFormatPr defaultRowHeight="14.4"/>
  <cols>
    <col min="1" max="1" width="62.6640625" style="6" bestFit="1" customWidth="1"/>
    <col min="2" max="11" width="9.88671875" style="11" customWidth="1"/>
    <col min="12" max="12" width="9.5546875" bestFit="1" customWidth="1"/>
  </cols>
  <sheetData>
    <row r="1" spans="1:18">
      <c r="A1" s="79" t="s">
        <v>106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8">
      <c r="A2" s="84" t="s">
        <v>185</v>
      </c>
      <c r="B2" s="206"/>
      <c r="C2" s="206"/>
      <c r="D2" s="206"/>
      <c r="E2" s="206"/>
      <c r="F2" s="206"/>
      <c r="G2" s="206"/>
      <c r="H2" s="206"/>
      <c r="I2" s="206"/>
      <c r="J2" s="324"/>
      <c r="K2" s="324"/>
    </row>
    <row r="3" spans="1:18">
      <c r="A3" s="84"/>
      <c r="B3" s="206"/>
      <c r="C3" s="206"/>
      <c r="D3" s="206"/>
      <c r="E3" s="206"/>
      <c r="G3" s="276"/>
      <c r="H3" s="94"/>
      <c r="I3" s="94"/>
      <c r="J3" s="365"/>
      <c r="K3" s="366" t="s">
        <v>60</v>
      </c>
    </row>
    <row r="4" spans="1:18" ht="11.85" customHeight="1">
      <c r="A4" s="178" t="s">
        <v>0</v>
      </c>
      <c r="B4" s="104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200</v>
      </c>
      <c r="J4" s="104" t="s">
        <v>201</v>
      </c>
      <c r="K4" s="104" t="s">
        <v>182</v>
      </c>
    </row>
    <row r="5" spans="1:18" ht="11.85" customHeight="1">
      <c r="A5" s="189" t="s">
        <v>83</v>
      </c>
      <c r="B5" s="347">
        <v>1340350</v>
      </c>
      <c r="C5" s="347">
        <v>1521434</v>
      </c>
      <c r="D5" s="347">
        <v>1772490</v>
      </c>
      <c r="E5" s="347">
        <v>1897475</v>
      </c>
      <c r="F5" s="347">
        <v>2135709</v>
      </c>
      <c r="G5" s="347">
        <v>2432613</v>
      </c>
      <c r="H5" s="347">
        <v>2583190</v>
      </c>
      <c r="I5" s="347">
        <v>2837707</v>
      </c>
      <c r="J5" s="347">
        <v>3225041</v>
      </c>
      <c r="K5" s="347">
        <v>3646102</v>
      </c>
      <c r="L5" s="192"/>
      <c r="M5" s="192"/>
      <c r="N5" s="192"/>
      <c r="O5" s="192"/>
      <c r="P5" s="192"/>
      <c r="Q5" s="192"/>
    </row>
    <row r="6" spans="1:18">
      <c r="A6" s="200" t="s">
        <v>84</v>
      </c>
      <c r="B6" s="347">
        <v>930956</v>
      </c>
      <c r="C6" s="347">
        <v>1072482</v>
      </c>
      <c r="D6" s="347">
        <v>1293474</v>
      </c>
      <c r="E6" s="347">
        <v>1356544</v>
      </c>
      <c r="F6" s="347">
        <v>1542584</v>
      </c>
      <c r="G6" s="347">
        <v>1786518</v>
      </c>
      <c r="H6" s="347">
        <v>1844730</v>
      </c>
      <c r="I6" s="347">
        <v>2016699</v>
      </c>
      <c r="J6" s="347">
        <v>2278249</v>
      </c>
      <c r="K6" s="347">
        <v>2483277</v>
      </c>
      <c r="L6" s="192"/>
      <c r="M6" s="192"/>
      <c r="N6" s="192"/>
      <c r="O6" s="192"/>
      <c r="P6" s="192"/>
      <c r="Q6" s="192"/>
      <c r="R6" s="204"/>
    </row>
    <row r="7" spans="1:18">
      <c r="A7" s="200" t="s">
        <v>85</v>
      </c>
      <c r="B7" s="347">
        <v>277771</v>
      </c>
      <c r="C7" s="347">
        <v>307167</v>
      </c>
      <c r="D7" s="347">
        <v>314308</v>
      </c>
      <c r="E7" s="347">
        <v>341275</v>
      </c>
      <c r="F7" s="347">
        <v>354712</v>
      </c>
      <c r="G7" s="347">
        <v>384578</v>
      </c>
      <c r="H7" s="347">
        <v>431700</v>
      </c>
      <c r="I7" s="347">
        <v>466882</v>
      </c>
      <c r="J7" s="347">
        <v>552318</v>
      </c>
      <c r="K7" s="347">
        <v>674559</v>
      </c>
      <c r="L7" s="192"/>
      <c r="M7" s="192"/>
      <c r="N7" s="192"/>
      <c r="O7" s="192"/>
      <c r="P7" s="192"/>
      <c r="Q7" s="192"/>
      <c r="R7" s="204"/>
    </row>
    <row r="8" spans="1:18">
      <c r="A8" s="200" t="s">
        <v>86</v>
      </c>
      <c r="B8" s="347">
        <v>17174</v>
      </c>
      <c r="C8" s="347">
        <v>16627</v>
      </c>
      <c r="D8" s="347">
        <v>19403</v>
      </c>
      <c r="E8" s="347">
        <v>22643</v>
      </c>
      <c r="F8" s="347">
        <v>24236</v>
      </c>
      <c r="G8" s="347">
        <v>25385</v>
      </c>
      <c r="H8" s="347">
        <v>27022</v>
      </c>
      <c r="I8" s="347">
        <v>26894</v>
      </c>
      <c r="J8" s="347">
        <v>27620</v>
      </c>
      <c r="K8" s="347">
        <v>34143</v>
      </c>
      <c r="L8" s="192"/>
      <c r="M8" s="192"/>
      <c r="N8" s="192"/>
      <c r="O8" s="192"/>
      <c r="P8" s="192"/>
      <c r="Q8" s="192"/>
      <c r="R8" s="204"/>
    </row>
    <row r="9" spans="1:18">
      <c r="A9" s="200" t="s">
        <v>87</v>
      </c>
      <c r="B9" s="347">
        <v>83842</v>
      </c>
      <c r="C9" s="347">
        <v>94562</v>
      </c>
      <c r="D9" s="347">
        <v>102617</v>
      </c>
      <c r="E9" s="347">
        <v>125979</v>
      </c>
      <c r="F9" s="347">
        <v>156606</v>
      </c>
      <c r="G9" s="347">
        <v>172958</v>
      </c>
      <c r="H9" s="347">
        <v>199012</v>
      </c>
      <c r="I9" s="347">
        <v>242895</v>
      </c>
      <c r="J9" s="347">
        <v>277471</v>
      </c>
      <c r="K9" s="347">
        <v>344231</v>
      </c>
      <c r="L9" s="192"/>
      <c r="M9" s="192"/>
      <c r="N9" s="192"/>
      <c r="O9" s="192"/>
      <c r="P9" s="192"/>
      <c r="Q9" s="192"/>
      <c r="R9" s="204"/>
    </row>
    <row r="10" spans="1:18">
      <c r="A10" s="200" t="s">
        <v>88</v>
      </c>
      <c r="B10" s="347">
        <v>30608</v>
      </c>
      <c r="C10" s="347">
        <v>30595</v>
      </c>
      <c r="D10" s="347">
        <v>42687</v>
      </c>
      <c r="E10" s="347">
        <v>51034</v>
      </c>
      <c r="F10" s="347">
        <v>57572</v>
      </c>
      <c r="G10" s="347">
        <v>63175</v>
      </c>
      <c r="H10" s="347">
        <v>80726</v>
      </c>
      <c r="I10" s="347">
        <v>84337</v>
      </c>
      <c r="J10" s="347">
        <v>89382</v>
      </c>
      <c r="K10" s="347">
        <v>109892</v>
      </c>
      <c r="L10" s="192"/>
      <c r="M10" s="192"/>
      <c r="N10" s="192"/>
      <c r="O10" s="192"/>
      <c r="P10" s="192"/>
      <c r="Q10" s="192"/>
      <c r="R10" s="204"/>
    </row>
    <row r="11" spans="1:18">
      <c r="A11" s="199" t="s">
        <v>1</v>
      </c>
      <c r="B11" s="347">
        <v>87764</v>
      </c>
      <c r="C11" s="347">
        <v>81280</v>
      </c>
      <c r="D11" s="347">
        <v>71675</v>
      </c>
      <c r="E11" s="347">
        <v>68909</v>
      </c>
      <c r="F11" s="347">
        <v>72769</v>
      </c>
      <c r="G11" s="347">
        <v>76402</v>
      </c>
      <c r="H11" s="347">
        <v>92045</v>
      </c>
      <c r="I11" s="347">
        <v>120116</v>
      </c>
      <c r="J11" s="347">
        <v>110151</v>
      </c>
      <c r="K11" s="347">
        <v>108970</v>
      </c>
      <c r="L11" s="192"/>
      <c r="M11" s="192"/>
      <c r="N11" s="192"/>
      <c r="O11" s="192"/>
      <c r="P11" s="192"/>
      <c r="Q11" s="192"/>
      <c r="R11" s="204"/>
    </row>
    <row r="12" spans="1:18">
      <c r="A12" s="199" t="s">
        <v>2</v>
      </c>
      <c r="B12" s="347">
        <v>686723</v>
      </c>
      <c r="C12" s="347">
        <v>707880</v>
      </c>
      <c r="D12" s="347">
        <v>741376</v>
      </c>
      <c r="E12" s="347">
        <v>785369</v>
      </c>
      <c r="F12" s="347">
        <v>809253</v>
      </c>
      <c r="G12" s="347">
        <v>814328</v>
      </c>
      <c r="H12" s="347">
        <v>885633</v>
      </c>
      <c r="I12" s="347">
        <v>1044191</v>
      </c>
      <c r="J12" s="347">
        <v>1125632</v>
      </c>
      <c r="K12" s="347">
        <v>1176393</v>
      </c>
      <c r="L12" s="192"/>
      <c r="M12" s="192"/>
      <c r="N12" s="192"/>
      <c r="O12" s="192"/>
      <c r="P12" s="192"/>
      <c r="Q12" s="192"/>
      <c r="R12" s="204"/>
    </row>
    <row r="13" spans="1:18">
      <c r="A13" s="200" t="s">
        <v>10</v>
      </c>
      <c r="B13" s="347">
        <v>365056</v>
      </c>
      <c r="C13" s="347">
        <v>390145</v>
      </c>
      <c r="D13" s="347">
        <v>424039</v>
      </c>
      <c r="E13" s="347">
        <v>452182</v>
      </c>
      <c r="F13" s="347">
        <v>467200</v>
      </c>
      <c r="G13" s="347">
        <v>467412</v>
      </c>
      <c r="H13" s="347">
        <v>499252</v>
      </c>
      <c r="I13" s="347">
        <v>575627</v>
      </c>
      <c r="J13" s="347">
        <v>635121</v>
      </c>
      <c r="K13" s="347">
        <v>660010</v>
      </c>
      <c r="L13" s="192"/>
      <c r="M13" s="192"/>
      <c r="N13" s="192"/>
      <c r="O13" s="192"/>
      <c r="P13" s="192"/>
      <c r="Q13" s="192"/>
      <c r="R13" s="204"/>
    </row>
    <row r="14" spans="1:18">
      <c r="A14" s="200" t="s">
        <v>11</v>
      </c>
      <c r="B14" s="347">
        <v>321667</v>
      </c>
      <c r="C14" s="347">
        <v>317736</v>
      </c>
      <c r="D14" s="347">
        <v>317337</v>
      </c>
      <c r="E14" s="347">
        <v>333186</v>
      </c>
      <c r="F14" s="347">
        <v>342053</v>
      </c>
      <c r="G14" s="347">
        <v>346916</v>
      </c>
      <c r="H14" s="347">
        <v>386381</v>
      </c>
      <c r="I14" s="347">
        <v>468564</v>
      </c>
      <c r="J14" s="347">
        <v>490512</v>
      </c>
      <c r="K14" s="347">
        <v>516383</v>
      </c>
      <c r="L14" s="192"/>
      <c r="M14" s="192"/>
      <c r="N14" s="192"/>
      <c r="O14" s="192"/>
      <c r="P14" s="192"/>
      <c r="Q14" s="192"/>
      <c r="R14" s="204"/>
    </row>
    <row r="15" spans="1:18">
      <c r="A15" s="199" t="s">
        <v>15</v>
      </c>
      <c r="B15" s="347">
        <v>123733</v>
      </c>
      <c r="C15" s="347">
        <v>142630</v>
      </c>
      <c r="D15" s="347">
        <v>156737</v>
      </c>
      <c r="E15" s="347">
        <v>157521</v>
      </c>
      <c r="F15" s="347">
        <v>161716</v>
      </c>
      <c r="G15" s="347">
        <v>163320</v>
      </c>
      <c r="H15" s="347">
        <v>172640</v>
      </c>
      <c r="I15" s="347">
        <v>181568</v>
      </c>
      <c r="J15" s="347">
        <v>261836</v>
      </c>
      <c r="K15" s="347">
        <v>290400</v>
      </c>
      <c r="L15" s="192"/>
      <c r="M15" s="192"/>
      <c r="N15" s="192"/>
      <c r="O15" s="192"/>
      <c r="P15" s="192"/>
      <c r="Q15" s="192"/>
      <c r="R15" s="204"/>
    </row>
    <row r="16" spans="1:18">
      <c r="A16" s="201" t="s">
        <v>89</v>
      </c>
      <c r="B16" s="347">
        <v>54684</v>
      </c>
      <c r="C16" s="347">
        <v>58206</v>
      </c>
      <c r="D16" s="347">
        <v>59271</v>
      </c>
      <c r="E16" s="347">
        <v>59648</v>
      </c>
      <c r="F16" s="347">
        <v>58912</v>
      </c>
      <c r="G16" s="347">
        <v>60250</v>
      </c>
      <c r="H16" s="347">
        <v>63342</v>
      </c>
      <c r="I16" s="347">
        <v>64742</v>
      </c>
      <c r="J16" s="347">
        <v>67779</v>
      </c>
      <c r="K16" s="347">
        <v>68907</v>
      </c>
      <c r="L16" s="192"/>
      <c r="M16" s="192"/>
      <c r="N16" s="192"/>
      <c r="O16" s="192"/>
      <c r="P16" s="192"/>
      <c r="Q16" s="192"/>
      <c r="R16" s="204"/>
    </row>
    <row r="17" spans="1:18">
      <c r="A17" s="201" t="s">
        <v>3</v>
      </c>
      <c r="B17" s="347">
        <v>347831</v>
      </c>
      <c r="C17" s="347">
        <v>389251</v>
      </c>
      <c r="D17" s="347">
        <v>455833</v>
      </c>
      <c r="E17" s="347">
        <v>545654</v>
      </c>
      <c r="F17" s="347">
        <v>630653</v>
      </c>
      <c r="G17" s="347">
        <v>750153</v>
      </c>
      <c r="H17" s="347">
        <v>849377</v>
      </c>
      <c r="I17" s="347">
        <v>953773</v>
      </c>
      <c r="J17" s="347">
        <v>1008689</v>
      </c>
      <c r="K17" s="347">
        <v>1027123</v>
      </c>
      <c r="L17" s="192"/>
      <c r="M17" s="192"/>
      <c r="N17" s="192"/>
      <c r="O17" s="192"/>
      <c r="P17" s="192"/>
      <c r="Q17" s="192"/>
      <c r="R17" s="204"/>
    </row>
    <row r="18" spans="1:18">
      <c r="A18" s="199" t="s">
        <v>4</v>
      </c>
      <c r="B18" s="347">
        <v>583462</v>
      </c>
      <c r="C18" s="347">
        <v>628416</v>
      </c>
      <c r="D18" s="347">
        <v>713561</v>
      </c>
      <c r="E18" s="347">
        <v>762968</v>
      </c>
      <c r="F18" s="347">
        <v>837918</v>
      </c>
      <c r="G18" s="347">
        <v>867574</v>
      </c>
      <c r="H18" s="347">
        <v>952902</v>
      </c>
      <c r="I18" s="347">
        <v>1042444</v>
      </c>
      <c r="J18" s="347">
        <v>1165083</v>
      </c>
      <c r="K18" s="347">
        <v>1219711</v>
      </c>
      <c r="L18" s="192"/>
      <c r="M18" s="192"/>
      <c r="N18" s="192"/>
      <c r="O18" s="192"/>
      <c r="P18" s="192"/>
      <c r="Q18" s="192"/>
      <c r="R18" s="204"/>
    </row>
    <row r="19" spans="1:18">
      <c r="A19" s="199" t="s">
        <v>9</v>
      </c>
      <c r="B19" s="347">
        <v>718135</v>
      </c>
      <c r="C19" s="347">
        <v>773852</v>
      </c>
      <c r="D19" s="347">
        <v>862956</v>
      </c>
      <c r="E19" s="347">
        <v>1056264</v>
      </c>
      <c r="F19" s="347">
        <v>1202830</v>
      </c>
      <c r="G19" s="347">
        <v>1156921</v>
      </c>
      <c r="H19" s="347">
        <v>1391614</v>
      </c>
      <c r="I19" s="347">
        <v>1774470</v>
      </c>
      <c r="J19" s="347">
        <v>1980646</v>
      </c>
      <c r="K19" s="347">
        <v>2060960</v>
      </c>
      <c r="L19" s="192"/>
      <c r="M19" s="192"/>
      <c r="N19" s="192"/>
      <c r="O19" s="192"/>
      <c r="P19" s="192"/>
      <c r="Q19" s="192"/>
      <c r="R19" s="204"/>
    </row>
    <row r="20" spans="1:18">
      <c r="A20" s="200" t="s">
        <v>154</v>
      </c>
      <c r="B20" s="348">
        <v>572233</v>
      </c>
      <c r="C20" s="348">
        <v>599415</v>
      </c>
      <c r="D20" s="348">
        <v>691544</v>
      </c>
      <c r="E20" s="348">
        <v>858653</v>
      </c>
      <c r="F20" s="348">
        <v>981744</v>
      </c>
      <c r="G20" s="348">
        <v>989306</v>
      </c>
      <c r="H20" s="348">
        <v>1192764</v>
      </c>
      <c r="I20" s="348">
        <v>1544301</v>
      </c>
      <c r="J20" s="348">
        <v>1702848</v>
      </c>
      <c r="K20" s="348">
        <v>1758928</v>
      </c>
      <c r="L20" s="192"/>
      <c r="M20" s="192"/>
      <c r="N20" s="192"/>
      <c r="O20" s="192"/>
      <c r="P20" s="192"/>
      <c r="Q20" s="192"/>
      <c r="R20" s="204"/>
    </row>
    <row r="21" spans="1:18">
      <c r="A21" s="270" t="s">
        <v>155</v>
      </c>
      <c r="B21" s="348">
        <v>64224</v>
      </c>
      <c r="C21" s="348">
        <v>83571</v>
      </c>
      <c r="D21" s="348">
        <v>73479</v>
      </c>
      <c r="E21" s="348">
        <v>85203</v>
      </c>
      <c r="F21" s="348">
        <v>97215</v>
      </c>
      <c r="G21" s="348">
        <v>47978</v>
      </c>
      <c r="H21" s="348">
        <v>75494</v>
      </c>
      <c r="I21" s="348">
        <v>109114</v>
      </c>
      <c r="J21" s="348">
        <v>154944</v>
      </c>
      <c r="K21" s="348">
        <v>169677</v>
      </c>
      <c r="L21" s="192"/>
      <c r="M21" s="192"/>
      <c r="N21" s="192"/>
      <c r="O21" s="192"/>
      <c r="P21" s="192"/>
      <c r="Q21" s="192"/>
      <c r="R21" s="204"/>
    </row>
    <row r="22" spans="1:18">
      <c r="A22" s="200" t="s">
        <v>156</v>
      </c>
      <c r="B22" s="348">
        <v>81677</v>
      </c>
      <c r="C22" s="348">
        <v>90866</v>
      </c>
      <c r="D22" s="348">
        <v>97933</v>
      </c>
      <c r="E22" s="348">
        <v>112407</v>
      </c>
      <c r="F22" s="348">
        <v>123871</v>
      </c>
      <c r="G22" s="348">
        <v>119636</v>
      </c>
      <c r="H22" s="348">
        <v>123356</v>
      </c>
      <c r="I22" s="348">
        <v>121055</v>
      </c>
      <c r="J22" s="348">
        <v>122853</v>
      </c>
      <c r="K22" s="348">
        <v>132355</v>
      </c>
      <c r="L22" s="192"/>
      <c r="M22" s="192"/>
      <c r="N22" s="192"/>
      <c r="O22" s="192"/>
      <c r="P22" s="192"/>
      <c r="Q22" s="192"/>
      <c r="R22" s="204"/>
    </row>
    <row r="23" spans="1:18">
      <c r="A23" s="277" t="s">
        <v>99</v>
      </c>
      <c r="B23" s="347">
        <v>60418</v>
      </c>
      <c r="C23" s="347">
        <v>70250</v>
      </c>
      <c r="D23" s="347">
        <v>85252</v>
      </c>
      <c r="E23" s="347">
        <v>100019</v>
      </c>
      <c r="F23" s="347">
        <v>119581</v>
      </c>
      <c r="G23" s="347">
        <v>77843</v>
      </c>
      <c r="H23" s="347">
        <v>133678</v>
      </c>
      <c r="I23" s="347">
        <v>145853</v>
      </c>
      <c r="J23" s="347">
        <v>193146</v>
      </c>
      <c r="K23" s="347">
        <v>254529</v>
      </c>
      <c r="L23" s="192"/>
      <c r="M23" s="192"/>
      <c r="N23" s="192"/>
      <c r="O23" s="192"/>
      <c r="P23" s="192"/>
      <c r="Q23" s="192"/>
      <c r="R23" s="204"/>
    </row>
    <row r="24" spans="1:18">
      <c r="A24" s="277" t="s">
        <v>82</v>
      </c>
      <c r="B24" s="347">
        <v>183015</v>
      </c>
      <c r="C24" s="347">
        <v>206755</v>
      </c>
      <c r="D24" s="347">
        <v>223497</v>
      </c>
      <c r="E24" s="347">
        <v>240120</v>
      </c>
      <c r="F24" s="347">
        <v>257419</v>
      </c>
      <c r="G24" s="347">
        <v>274820</v>
      </c>
      <c r="H24" s="347">
        <v>291437</v>
      </c>
      <c r="I24" s="347">
        <v>315733</v>
      </c>
      <c r="J24" s="347">
        <v>339452</v>
      </c>
      <c r="K24" s="347">
        <v>364542</v>
      </c>
      <c r="L24" s="192"/>
      <c r="M24" s="192"/>
      <c r="N24" s="192"/>
      <c r="O24" s="192"/>
      <c r="P24" s="192"/>
      <c r="Q24" s="192"/>
      <c r="R24" s="204"/>
    </row>
    <row r="25" spans="1:18">
      <c r="A25" s="200" t="s">
        <v>90</v>
      </c>
      <c r="B25" s="347">
        <v>118056</v>
      </c>
      <c r="C25" s="347">
        <v>134032</v>
      </c>
      <c r="D25" s="347">
        <v>147279</v>
      </c>
      <c r="E25" s="347">
        <v>157667</v>
      </c>
      <c r="F25" s="347">
        <v>171633</v>
      </c>
      <c r="G25" s="347">
        <v>191898</v>
      </c>
      <c r="H25" s="347">
        <v>200683</v>
      </c>
      <c r="I25" s="347">
        <v>222226</v>
      </c>
      <c r="J25" s="347">
        <v>237296</v>
      </c>
      <c r="K25" s="347">
        <v>264406</v>
      </c>
      <c r="L25" s="192"/>
      <c r="M25" s="192"/>
      <c r="N25" s="192"/>
      <c r="O25" s="192"/>
      <c r="P25" s="192"/>
      <c r="Q25" s="192"/>
      <c r="R25" s="204"/>
    </row>
    <row r="26" spans="1:18">
      <c r="A26" s="270" t="s">
        <v>91</v>
      </c>
      <c r="B26" s="347">
        <v>64958</v>
      </c>
      <c r="C26" s="347">
        <v>72723</v>
      </c>
      <c r="D26" s="347">
        <v>76218</v>
      </c>
      <c r="E26" s="347">
        <v>82452</v>
      </c>
      <c r="F26" s="347">
        <v>85786</v>
      </c>
      <c r="G26" s="347">
        <v>82923</v>
      </c>
      <c r="H26" s="347">
        <v>90754</v>
      </c>
      <c r="I26" s="347">
        <v>93507</v>
      </c>
      <c r="J26" s="347">
        <v>102155</v>
      </c>
      <c r="K26" s="347">
        <v>100137</v>
      </c>
      <c r="L26" s="192"/>
      <c r="M26" s="192"/>
      <c r="N26" s="192"/>
      <c r="O26" s="192"/>
      <c r="P26" s="192"/>
      <c r="Q26" s="192"/>
      <c r="R26" s="204"/>
    </row>
    <row r="27" spans="1:18">
      <c r="A27" s="199" t="s">
        <v>92</v>
      </c>
      <c r="B27" s="347">
        <v>491876</v>
      </c>
      <c r="C27" s="347">
        <v>588924</v>
      </c>
      <c r="D27" s="347">
        <v>634089</v>
      </c>
      <c r="E27" s="347">
        <v>622625</v>
      </c>
      <c r="F27" s="347">
        <v>667702</v>
      </c>
      <c r="G27" s="347">
        <v>723059</v>
      </c>
      <c r="H27" s="347">
        <v>860626</v>
      </c>
      <c r="I27" s="347">
        <v>1000605</v>
      </c>
      <c r="J27" s="347">
        <v>1179097</v>
      </c>
      <c r="K27" s="347">
        <v>1284840</v>
      </c>
      <c r="L27" s="192"/>
      <c r="M27" s="192"/>
      <c r="N27" s="192"/>
      <c r="O27" s="192"/>
      <c r="P27" s="192"/>
      <c r="Q27" s="192"/>
      <c r="R27" s="204"/>
    </row>
    <row r="28" spans="1:18">
      <c r="A28" s="200" t="s">
        <v>176</v>
      </c>
      <c r="B28" s="348">
        <v>384603</v>
      </c>
      <c r="C28" s="348">
        <v>474853</v>
      </c>
      <c r="D28" s="348">
        <v>509667</v>
      </c>
      <c r="E28" s="348">
        <v>480309</v>
      </c>
      <c r="F28" s="348">
        <v>509946</v>
      </c>
      <c r="G28" s="348">
        <v>542508</v>
      </c>
      <c r="H28" s="348">
        <v>621853</v>
      </c>
      <c r="I28" s="348">
        <v>725863</v>
      </c>
      <c r="J28" s="348">
        <v>863086</v>
      </c>
      <c r="K28" s="348">
        <v>905462</v>
      </c>
      <c r="L28" s="192"/>
      <c r="M28" s="192"/>
      <c r="N28" s="192"/>
      <c r="O28" s="192"/>
      <c r="P28" s="192"/>
      <c r="Q28" s="192"/>
      <c r="R28" s="204"/>
    </row>
    <row r="29" spans="1:18">
      <c r="A29" s="200" t="s">
        <v>177</v>
      </c>
      <c r="B29" s="348">
        <v>107274</v>
      </c>
      <c r="C29" s="348">
        <v>114070</v>
      </c>
      <c r="D29" s="348">
        <v>124423</v>
      </c>
      <c r="E29" s="348">
        <v>142315</v>
      </c>
      <c r="F29" s="348">
        <v>157755</v>
      </c>
      <c r="G29" s="348">
        <v>180550</v>
      </c>
      <c r="H29" s="348">
        <v>238773</v>
      </c>
      <c r="I29" s="348">
        <v>274742</v>
      </c>
      <c r="J29" s="348">
        <v>316010</v>
      </c>
      <c r="K29" s="348">
        <v>379378</v>
      </c>
      <c r="L29" s="192"/>
      <c r="M29" s="192"/>
      <c r="N29" s="192"/>
      <c r="O29" s="192"/>
      <c r="P29" s="192"/>
      <c r="Q29" s="192"/>
      <c r="R29" s="204"/>
    </row>
    <row r="30" spans="1:18">
      <c r="A30" s="199" t="s">
        <v>93</v>
      </c>
      <c r="B30" s="347">
        <v>619728</v>
      </c>
      <c r="C30" s="347">
        <v>705877</v>
      </c>
      <c r="D30" s="347">
        <v>792515</v>
      </c>
      <c r="E30" s="347">
        <v>881622</v>
      </c>
      <c r="F30" s="347">
        <v>946732</v>
      </c>
      <c r="G30" s="347">
        <v>996203</v>
      </c>
      <c r="H30" s="347">
        <v>1076597</v>
      </c>
      <c r="I30" s="347">
        <v>1148722</v>
      </c>
      <c r="J30" s="347">
        <v>1265138</v>
      </c>
      <c r="K30" s="347">
        <v>1360284</v>
      </c>
      <c r="L30" s="192"/>
      <c r="M30" s="192"/>
      <c r="N30" s="192"/>
      <c r="O30" s="192"/>
      <c r="P30" s="192"/>
      <c r="Q30" s="192"/>
      <c r="R30" s="204"/>
    </row>
    <row r="31" spans="1:18">
      <c r="A31" s="199" t="s">
        <v>94</v>
      </c>
      <c r="B31" s="347">
        <v>136197</v>
      </c>
      <c r="C31" s="347">
        <v>146624</v>
      </c>
      <c r="D31" s="347">
        <v>154320</v>
      </c>
      <c r="E31" s="347">
        <v>163959</v>
      </c>
      <c r="F31" s="347">
        <v>175882</v>
      </c>
      <c r="G31" s="347">
        <v>159505</v>
      </c>
      <c r="H31" s="347">
        <v>179258</v>
      </c>
      <c r="I31" s="347">
        <v>188529</v>
      </c>
      <c r="J31" s="347">
        <v>208094</v>
      </c>
      <c r="K31" s="347">
        <v>232389</v>
      </c>
      <c r="L31" s="192"/>
      <c r="M31" s="192"/>
      <c r="N31" s="192"/>
      <c r="O31" s="192"/>
      <c r="P31" s="192"/>
      <c r="Q31" s="192"/>
      <c r="R31" s="204"/>
    </row>
    <row r="32" spans="1:18">
      <c r="A32" s="199" t="s">
        <v>95</v>
      </c>
      <c r="B32" s="347">
        <v>72843</v>
      </c>
      <c r="C32" s="347">
        <v>77825</v>
      </c>
      <c r="D32" s="347">
        <v>83429</v>
      </c>
      <c r="E32" s="347">
        <v>97502</v>
      </c>
      <c r="F32" s="347">
        <v>108875</v>
      </c>
      <c r="G32" s="347">
        <v>92732</v>
      </c>
      <c r="H32" s="347">
        <v>105657</v>
      </c>
      <c r="I32" s="347">
        <v>130618</v>
      </c>
      <c r="J32" s="347">
        <v>154296</v>
      </c>
      <c r="K32" s="347">
        <v>172337</v>
      </c>
      <c r="L32" s="192"/>
      <c r="M32" s="192"/>
      <c r="N32" s="192"/>
      <c r="O32" s="192"/>
      <c r="P32" s="192"/>
      <c r="Q32" s="192"/>
      <c r="R32" s="204"/>
    </row>
    <row r="33" spans="1:18">
      <c r="A33" s="199" t="s">
        <v>16</v>
      </c>
      <c r="B33" s="347">
        <v>383147</v>
      </c>
      <c r="C33" s="347">
        <v>410099</v>
      </c>
      <c r="D33" s="347">
        <v>442962</v>
      </c>
      <c r="E33" s="347">
        <v>493180</v>
      </c>
      <c r="F33" s="347">
        <v>541367</v>
      </c>
      <c r="G33" s="347">
        <v>592623</v>
      </c>
      <c r="H33" s="347">
        <v>634986</v>
      </c>
      <c r="I33" s="347">
        <v>675754</v>
      </c>
      <c r="J33" s="347">
        <v>731118</v>
      </c>
      <c r="K33" s="347">
        <v>807329</v>
      </c>
      <c r="L33" s="192"/>
      <c r="M33" s="192"/>
      <c r="N33" s="192"/>
      <c r="O33" s="192"/>
      <c r="P33" s="192"/>
      <c r="Q33" s="192"/>
      <c r="R33" s="204"/>
    </row>
    <row r="34" spans="1:18">
      <c r="A34" s="277" t="s">
        <v>12</v>
      </c>
      <c r="B34" s="347">
        <v>314363</v>
      </c>
      <c r="C34" s="347">
        <v>338011</v>
      </c>
      <c r="D34" s="347">
        <v>365477</v>
      </c>
      <c r="E34" s="347">
        <v>399515</v>
      </c>
      <c r="F34" s="347">
        <v>431876</v>
      </c>
      <c r="G34" s="347">
        <v>413090</v>
      </c>
      <c r="H34" s="347">
        <v>521945</v>
      </c>
      <c r="I34" s="347">
        <v>545098</v>
      </c>
      <c r="J34" s="347">
        <v>577027</v>
      </c>
      <c r="K34" s="347">
        <v>623998</v>
      </c>
      <c r="L34" s="192"/>
      <c r="M34" s="192"/>
      <c r="N34" s="192"/>
      <c r="O34" s="192"/>
      <c r="P34" s="192"/>
      <c r="Q34" s="192"/>
      <c r="R34" s="204"/>
    </row>
    <row r="35" spans="1:18">
      <c r="A35" s="200" t="s">
        <v>153</v>
      </c>
      <c r="B35" s="347">
        <v>146253</v>
      </c>
      <c r="C35" s="347">
        <v>155976</v>
      </c>
      <c r="D35" s="347">
        <v>184303</v>
      </c>
      <c r="E35" s="347">
        <v>208393</v>
      </c>
      <c r="F35" s="347">
        <v>215329</v>
      </c>
      <c r="G35" s="347">
        <v>209929</v>
      </c>
      <c r="H35" s="347">
        <v>257440</v>
      </c>
      <c r="I35" s="347">
        <v>269940</v>
      </c>
      <c r="J35" s="347">
        <v>283322</v>
      </c>
      <c r="K35" s="347">
        <v>294436</v>
      </c>
      <c r="L35" s="192"/>
      <c r="M35" s="192"/>
      <c r="N35" s="192"/>
      <c r="O35" s="192"/>
      <c r="P35" s="192"/>
      <c r="Q35" s="192"/>
      <c r="R35" s="204"/>
    </row>
    <row r="36" spans="1:18">
      <c r="A36" s="270" t="s">
        <v>151</v>
      </c>
      <c r="B36" s="347">
        <v>85495</v>
      </c>
      <c r="C36" s="347">
        <v>93654</v>
      </c>
      <c r="D36" s="347">
        <v>98828</v>
      </c>
      <c r="E36" s="347">
        <v>109878</v>
      </c>
      <c r="F36" s="347">
        <v>119592</v>
      </c>
      <c r="G36" s="347">
        <v>110010</v>
      </c>
      <c r="H36" s="347">
        <v>146660</v>
      </c>
      <c r="I36" s="347">
        <v>154244</v>
      </c>
      <c r="J36" s="347">
        <v>165507</v>
      </c>
      <c r="K36" s="347">
        <v>185724</v>
      </c>
      <c r="L36" s="192"/>
      <c r="M36" s="192"/>
      <c r="N36" s="192"/>
      <c r="O36" s="192"/>
      <c r="P36" s="192"/>
      <c r="Q36" s="192"/>
      <c r="R36" s="204"/>
    </row>
    <row r="37" spans="1:18">
      <c r="A37" s="200" t="s">
        <v>152</v>
      </c>
      <c r="B37" s="347">
        <v>82616</v>
      </c>
      <c r="C37" s="347">
        <v>88380</v>
      </c>
      <c r="D37" s="347">
        <v>82346</v>
      </c>
      <c r="E37" s="347">
        <v>81245</v>
      </c>
      <c r="F37" s="347">
        <v>96955</v>
      </c>
      <c r="G37" s="347">
        <v>93151</v>
      </c>
      <c r="H37" s="347">
        <v>117846</v>
      </c>
      <c r="I37" s="347">
        <v>120914</v>
      </c>
      <c r="J37" s="347">
        <v>128198</v>
      </c>
      <c r="K37" s="347">
        <v>143838</v>
      </c>
      <c r="L37" s="192"/>
      <c r="M37" s="192"/>
      <c r="N37" s="192"/>
      <c r="O37" s="192"/>
      <c r="P37" s="192"/>
      <c r="Q37" s="192"/>
      <c r="R37" s="204"/>
    </row>
    <row r="38" spans="1:18">
      <c r="A38" s="199" t="s">
        <v>100</v>
      </c>
      <c r="B38" s="347">
        <v>136224</v>
      </c>
      <c r="C38" s="347">
        <v>156846</v>
      </c>
      <c r="D38" s="347">
        <v>175811</v>
      </c>
      <c r="E38" s="347">
        <v>188778</v>
      </c>
      <c r="F38" s="347">
        <v>197969</v>
      </c>
      <c r="G38" s="347">
        <v>212966</v>
      </c>
      <c r="H38" s="347">
        <v>238544</v>
      </c>
      <c r="I38" s="347">
        <v>242349</v>
      </c>
      <c r="J38" s="347">
        <v>259141</v>
      </c>
      <c r="K38" s="347">
        <v>280509</v>
      </c>
      <c r="L38" s="192"/>
      <c r="M38" s="192"/>
      <c r="N38" s="192"/>
      <c r="O38" s="192"/>
      <c r="P38" s="192"/>
      <c r="Q38" s="192"/>
      <c r="R38" s="204"/>
    </row>
    <row r="39" spans="1:18">
      <c r="A39" s="199" t="s">
        <v>96</v>
      </c>
      <c r="B39" s="347">
        <v>15259</v>
      </c>
      <c r="C39" s="347">
        <v>18281</v>
      </c>
      <c r="D39" s="347">
        <v>22440</v>
      </c>
      <c r="E39" s="347">
        <v>24541</v>
      </c>
      <c r="F39" s="347">
        <v>27056</v>
      </c>
      <c r="G39" s="347">
        <v>19941</v>
      </c>
      <c r="H39" s="347">
        <v>23511</v>
      </c>
      <c r="I39" s="347">
        <v>28300</v>
      </c>
      <c r="J39" s="347">
        <v>33073</v>
      </c>
      <c r="K39" s="347">
        <v>38841</v>
      </c>
      <c r="L39" s="192"/>
      <c r="M39" s="192"/>
      <c r="N39" s="192"/>
      <c r="O39" s="192"/>
      <c r="P39" s="192"/>
      <c r="Q39" s="192"/>
      <c r="R39" s="204"/>
    </row>
    <row r="40" spans="1:18">
      <c r="A40" s="199" t="s">
        <v>97</v>
      </c>
      <c r="B40" s="347">
        <v>98264</v>
      </c>
      <c r="C40" s="347">
        <v>109694</v>
      </c>
      <c r="D40" s="347">
        <v>122146</v>
      </c>
      <c r="E40" s="347">
        <v>135539</v>
      </c>
      <c r="F40" s="347">
        <v>144894</v>
      </c>
      <c r="G40" s="347">
        <v>124379</v>
      </c>
      <c r="H40" s="347">
        <v>143824</v>
      </c>
      <c r="I40" s="347">
        <v>157339</v>
      </c>
      <c r="J40" s="347">
        <v>168881</v>
      </c>
      <c r="K40" s="347">
        <v>182255</v>
      </c>
      <c r="L40" s="192"/>
      <c r="M40" s="192"/>
      <c r="N40" s="192"/>
      <c r="O40" s="192"/>
      <c r="P40" s="192"/>
      <c r="Q40" s="192"/>
      <c r="R40" s="204"/>
    </row>
    <row r="41" spans="1:18">
      <c r="A41" s="199" t="s">
        <v>98</v>
      </c>
      <c r="B41" s="347">
        <v>51332</v>
      </c>
      <c r="C41" s="347">
        <v>55130</v>
      </c>
      <c r="D41" s="347">
        <v>59870</v>
      </c>
      <c r="E41" s="347">
        <v>65710</v>
      </c>
      <c r="F41" s="347">
        <v>68917</v>
      </c>
      <c r="G41" s="347">
        <v>72064</v>
      </c>
      <c r="H41" s="347">
        <v>75242</v>
      </c>
      <c r="I41" s="347">
        <v>79420</v>
      </c>
      <c r="J41" s="347">
        <v>85605</v>
      </c>
      <c r="K41" s="347">
        <v>90186</v>
      </c>
      <c r="L41" s="192"/>
      <c r="M41" s="192"/>
      <c r="N41" s="192"/>
      <c r="O41" s="192"/>
      <c r="P41" s="192"/>
      <c r="Q41" s="192"/>
      <c r="R41" s="204"/>
    </row>
    <row r="42" spans="1:18" ht="20.399999999999999" customHeight="1">
      <c r="A42" s="208" t="s">
        <v>141</v>
      </c>
      <c r="B42" s="349">
        <v>-216100</v>
      </c>
      <c r="C42" s="349">
        <v>-260609</v>
      </c>
      <c r="D42" s="349">
        <v>-241384</v>
      </c>
      <c r="E42" s="349">
        <v>-215414</v>
      </c>
      <c r="F42" s="349">
        <v>-226631</v>
      </c>
      <c r="G42" s="349">
        <v>-218639</v>
      </c>
      <c r="H42" s="349">
        <v>-244592</v>
      </c>
      <c r="I42" s="349">
        <v>-259642</v>
      </c>
      <c r="J42" s="349">
        <v>-323769</v>
      </c>
      <c r="K42" s="349">
        <v>-322512</v>
      </c>
      <c r="L42" s="192"/>
      <c r="M42" s="192"/>
      <c r="N42" s="192"/>
      <c r="O42" s="192"/>
      <c r="P42" s="192"/>
      <c r="Q42" s="192"/>
      <c r="R42" s="204"/>
    </row>
    <row r="43" spans="1:18">
      <c r="A43" s="179" t="s">
        <v>130</v>
      </c>
      <c r="B43" s="350">
        <v>6289246</v>
      </c>
      <c r="C43" s="350">
        <v>6926656</v>
      </c>
      <c r="D43" s="350">
        <v>7754323</v>
      </c>
      <c r="E43" s="350">
        <v>8531502</v>
      </c>
      <c r="F43" s="350">
        <v>9371398</v>
      </c>
      <c r="G43" s="350">
        <v>9862147</v>
      </c>
      <c r="H43" s="350">
        <v>11031456</v>
      </c>
      <c r="I43" s="350">
        <v>12417686</v>
      </c>
      <c r="J43" s="350">
        <v>13815154</v>
      </c>
      <c r="K43" s="350">
        <v>14968094</v>
      </c>
      <c r="L43" s="192"/>
      <c r="M43" s="192"/>
      <c r="N43" s="192"/>
      <c r="O43" s="192"/>
      <c r="P43" s="192"/>
      <c r="Q43" s="192"/>
      <c r="R43" s="204"/>
    </row>
    <row r="44" spans="1:18">
      <c r="A44" s="202" t="s">
        <v>8</v>
      </c>
      <c r="B44" s="351">
        <v>595080</v>
      </c>
      <c r="C44" s="351">
        <v>667408</v>
      </c>
      <c r="D44" s="351">
        <v>729074</v>
      </c>
      <c r="E44" s="351">
        <v>808805</v>
      </c>
      <c r="F44" s="351">
        <v>866330</v>
      </c>
      <c r="G44" s="351">
        <v>852923</v>
      </c>
      <c r="H44" s="351">
        <v>996206</v>
      </c>
      <c r="I44" s="351">
        <v>1071956</v>
      </c>
      <c r="J44" s="351">
        <v>1218456</v>
      </c>
      <c r="K44" s="351">
        <v>1256384</v>
      </c>
      <c r="L44" s="192"/>
      <c r="M44" s="192"/>
      <c r="N44" s="192"/>
      <c r="O44" s="192"/>
      <c r="P44" s="192"/>
      <c r="Q44" s="192"/>
      <c r="R44" s="204"/>
    </row>
    <row r="45" spans="1:18">
      <c r="A45" s="203" t="s">
        <v>6</v>
      </c>
      <c r="B45" s="352">
        <v>6884326</v>
      </c>
      <c r="C45" s="352">
        <v>7594064</v>
      </c>
      <c r="D45" s="352">
        <v>8483397</v>
      </c>
      <c r="E45" s="352">
        <v>9340307</v>
      </c>
      <c r="F45" s="352">
        <v>10237727</v>
      </c>
      <c r="G45" s="352">
        <v>10715070</v>
      </c>
      <c r="H45" s="352">
        <v>12027662</v>
      </c>
      <c r="I45" s="352">
        <v>13489642</v>
      </c>
      <c r="J45" s="352">
        <v>15033610</v>
      </c>
      <c r="K45" s="352">
        <v>16224478</v>
      </c>
      <c r="L45" s="192"/>
      <c r="M45" s="192"/>
      <c r="N45" s="192"/>
      <c r="O45" s="192"/>
      <c r="P45" s="192"/>
      <c r="Q45" s="192"/>
      <c r="R45" s="204"/>
    </row>
    <row r="46" spans="1:18">
      <c r="A46" s="363" t="s">
        <v>18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M46" s="204"/>
      <c r="N46" s="204"/>
      <c r="O46" s="204"/>
      <c r="P46" s="204"/>
      <c r="Q46" s="204"/>
      <c r="R46" s="204"/>
    </row>
    <row r="47" spans="1:18">
      <c r="A47" s="364" t="s">
        <v>202</v>
      </c>
      <c r="M47" s="204"/>
      <c r="N47" s="204"/>
      <c r="O47" s="204"/>
      <c r="P47" s="204"/>
      <c r="Q47" s="204"/>
      <c r="R47" s="204"/>
    </row>
    <row r="48" spans="1:18">
      <c r="M48" s="204"/>
      <c r="N48" s="204"/>
      <c r="O48" s="204"/>
      <c r="P48" s="204"/>
      <c r="Q48" s="204"/>
      <c r="R48" s="204"/>
    </row>
    <row r="49" spans="13:18">
      <c r="M49" s="204"/>
      <c r="N49" s="204"/>
      <c r="O49" s="204"/>
      <c r="P49" s="204"/>
      <c r="Q49" s="204"/>
      <c r="R49" s="204"/>
    </row>
    <row r="50" spans="13:18">
      <c r="M50" s="204"/>
      <c r="N50" s="204"/>
      <c r="O50" s="204"/>
      <c r="P50" s="204"/>
      <c r="Q50" s="204"/>
      <c r="R50" s="204"/>
    </row>
  </sheetData>
  <pageMargins left="0.74803149606299202" right="0.23622047244094499" top="0.74803149606299202" bottom="0.511811023622047" header="0.196850393700787" footer="0.23622047244094499"/>
  <pageSetup paperSize="9" scale="40" firstPageNumber="10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showGridLines="0" zoomScaleNormal="100" zoomScaleSheetLayoutView="100" workbookViewId="0">
      <pane xSplit="1" ySplit="4" topLeftCell="B32" activePane="bottomRight" state="frozen"/>
      <selection activeCell="G137" sqref="G137"/>
      <selection pane="topRight" activeCell="G137" sqref="G137"/>
      <selection pane="bottomLeft" activeCell="G137" sqref="G137"/>
      <selection pane="bottomRight" activeCell="L49" sqref="L49"/>
    </sheetView>
  </sheetViews>
  <sheetFormatPr defaultRowHeight="14.4"/>
  <cols>
    <col min="1" max="1" width="43.5546875" style="6" customWidth="1"/>
    <col min="2" max="9" width="7.109375" style="6" customWidth="1"/>
    <col min="10" max="11" width="7.5546875" style="6" customWidth="1"/>
  </cols>
  <sheetData>
    <row r="1" spans="1:17">
      <c r="A1" s="79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7">
      <c r="A2" s="84" t="s">
        <v>184</v>
      </c>
      <c r="B2" s="82"/>
      <c r="C2" s="82"/>
      <c r="D2" s="84"/>
      <c r="E2" s="82"/>
      <c r="F2" s="84"/>
      <c r="G2" s="98"/>
      <c r="J2" s="8"/>
      <c r="K2" s="8"/>
    </row>
    <row r="3" spans="1:17">
      <c r="A3" s="84"/>
      <c r="B3" s="82"/>
      <c r="C3" s="82"/>
      <c r="D3" s="84"/>
      <c r="E3" s="82"/>
      <c r="F3" s="84"/>
      <c r="G3" s="98"/>
      <c r="H3" s="98"/>
      <c r="I3" s="98"/>
      <c r="K3" s="368" t="s">
        <v>131</v>
      </c>
    </row>
    <row r="4" spans="1:17" ht="11.85" customHeight="1">
      <c r="A4" s="280" t="s">
        <v>0</v>
      </c>
      <c r="B4" s="104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200</v>
      </c>
      <c r="J4" s="104" t="s">
        <v>201</v>
      </c>
      <c r="K4" s="104" t="s">
        <v>182</v>
      </c>
    </row>
    <row r="5" spans="1:17">
      <c r="A5" s="282" t="s">
        <v>83</v>
      </c>
      <c r="B5" s="176">
        <v>19.5</v>
      </c>
      <c r="C5" s="176">
        <v>20</v>
      </c>
      <c r="D5" s="176">
        <v>20.9</v>
      </c>
      <c r="E5" s="176">
        <v>20.3</v>
      </c>
      <c r="F5" s="176">
        <v>20.9</v>
      </c>
      <c r="G5" s="176">
        <v>22.7</v>
      </c>
      <c r="H5" s="176">
        <v>21.5</v>
      </c>
      <c r="I5" s="176">
        <v>21</v>
      </c>
      <c r="J5" s="176">
        <v>21.5</v>
      </c>
      <c r="K5" s="176">
        <v>22.5</v>
      </c>
      <c r="L5" s="267"/>
      <c r="M5" s="267"/>
      <c r="N5" s="267"/>
      <c r="O5" s="267"/>
      <c r="P5" s="267"/>
      <c r="Q5" s="267"/>
    </row>
    <row r="6" spans="1:17">
      <c r="A6" s="283" t="s">
        <v>84</v>
      </c>
      <c r="B6" s="175">
        <v>13.5</v>
      </c>
      <c r="C6" s="175">
        <v>14.1</v>
      </c>
      <c r="D6" s="175">
        <v>15.2</v>
      </c>
      <c r="E6" s="175">
        <v>14.5</v>
      </c>
      <c r="F6" s="175">
        <v>15.1</v>
      </c>
      <c r="G6" s="175">
        <v>16.7</v>
      </c>
      <c r="H6" s="175">
        <v>15.3</v>
      </c>
      <c r="I6" s="175">
        <v>14.9</v>
      </c>
      <c r="J6" s="175">
        <v>15.2</v>
      </c>
      <c r="K6" s="175">
        <v>15.3</v>
      </c>
      <c r="L6" s="267"/>
      <c r="M6" s="267"/>
      <c r="N6" s="267"/>
      <c r="O6" s="267"/>
      <c r="P6" s="267"/>
      <c r="Q6" s="267"/>
    </row>
    <row r="7" spans="1:17">
      <c r="A7" s="283" t="s">
        <v>85</v>
      </c>
      <c r="B7" s="175">
        <v>4</v>
      </c>
      <c r="C7" s="175">
        <v>4</v>
      </c>
      <c r="D7" s="175">
        <v>3.7</v>
      </c>
      <c r="E7" s="175">
        <v>3.7</v>
      </c>
      <c r="F7" s="175">
        <v>3.5</v>
      </c>
      <c r="G7" s="175">
        <v>3.6</v>
      </c>
      <c r="H7" s="175">
        <v>3.6</v>
      </c>
      <c r="I7" s="175">
        <v>3.5</v>
      </c>
      <c r="J7" s="175">
        <v>3.7</v>
      </c>
      <c r="K7" s="175">
        <v>4.2</v>
      </c>
      <c r="L7" s="267"/>
      <c r="M7" s="267"/>
      <c r="N7" s="267"/>
      <c r="O7" s="267"/>
      <c r="P7" s="267"/>
      <c r="Q7" s="267"/>
    </row>
    <row r="8" spans="1:17">
      <c r="A8" s="283" t="s">
        <v>86</v>
      </c>
      <c r="B8" s="175">
        <v>0.2</v>
      </c>
      <c r="C8" s="175">
        <v>0.2</v>
      </c>
      <c r="D8" s="175">
        <v>0.2</v>
      </c>
      <c r="E8" s="175">
        <v>0.2</v>
      </c>
      <c r="F8" s="175">
        <v>0.2</v>
      </c>
      <c r="G8" s="175">
        <v>0.2</v>
      </c>
      <c r="H8" s="175">
        <v>0.2</v>
      </c>
      <c r="I8" s="175">
        <v>0.2</v>
      </c>
      <c r="J8" s="175">
        <v>0.2</v>
      </c>
      <c r="K8" s="175">
        <v>0.2</v>
      </c>
      <c r="L8" s="267"/>
      <c r="M8" s="267"/>
      <c r="N8" s="267"/>
      <c r="O8" s="267"/>
      <c r="P8" s="267"/>
      <c r="Q8" s="267"/>
    </row>
    <row r="9" spans="1:17">
      <c r="A9" s="283" t="s">
        <v>87</v>
      </c>
      <c r="B9" s="175">
        <v>1.2</v>
      </c>
      <c r="C9" s="175">
        <v>1.2</v>
      </c>
      <c r="D9" s="175">
        <v>1.2</v>
      </c>
      <c r="E9" s="175">
        <v>1.3</v>
      </c>
      <c r="F9" s="175">
        <v>1.5</v>
      </c>
      <c r="G9" s="175">
        <v>1.6</v>
      </c>
      <c r="H9" s="175">
        <v>1.7</v>
      </c>
      <c r="I9" s="175">
        <v>1.8</v>
      </c>
      <c r="J9" s="175">
        <v>1.8</v>
      </c>
      <c r="K9" s="175">
        <v>2.1</v>
      </c>
      <c r="L9" s="267"/>
      <c r="M9" s="267"/>
      <c r="N9" s="267"/>
      <c r="O9" s="267"/>
      <c r="P9" s="267"/>
      <c r="Q9" s="267"/>
    </row>
    <row r="10" spans="1:17">
      <c r="A10" s="283" t="s">
        <v>88</v>
      </c>
      <c r="B10" s="175">
        <v>0.4</v>
      </c>
      <c r="C10" s="175">
        <v>0.4</v>
      </c>
      <c r="D10" s="175">
        <v>0.5</v>
      </c>
      <c r="E10" s="175">
        <v>0.5</v>
      </c>
      <c r="F10" s="175">
        <v>0.6</v>
      </c>
      <c r="G10" s="175">
        <v>0.6</v>
      </c>
      <c r="H10" s="175">
        <v>0.7</v>
      </c>
      <c r="I10" s="175">
        <v>0.6</v>
      </c>
      <c r="J10" s="175">
        <v>0.6</v>
      </c>
      <c r="K10" s="175">
        <v>0.7</v>
      </c>
      <c r="L10" s="267"/>
      <c r="M10" s="267"/>
      <c r="N10" s="267"/>
      <c r="O10" s="267"/>
      <c r="P10" s="267"/>
      <c r="Q10" s="267"/>
    </row>
    <row r="11" spans="1:17">
      <c r="A11" s="284" t="s">
        <v>1</v>
      </c>
      <c r="B11" s="175">
        <v>1.3</v>
      </c>
      <c r="C11" s="175">
        <v>1.1000000000000001</v>
      </c>
      <c r="D11" s="175">
        <v>0.8</v>
      </c>
      <c r="E11" s="175">
        <v>0.7</v>
      </c>
      <c r="F11" s="175">
        <v>0.7</v>
      </c>
      <c r="G11" s="175">
        <v>0.7</v>
      </c>
      <c r="H11" s="175">
        <v>0.8</v>
      </c>
      <c r="I11" s="175">
        <v>0.9</v>
      </c>
      <c r="J11" s="175">
        <v>0.7</v>
      </c>
      <c r="K11" s="175">
        <v>0.7</v>
      </c>
      <c r="L11" s="267"/>
      <c r="M11" s="267"/>
      <c r="N11" s="267"/>
      <c r="O11" s="267"/>
      <c r="P11" s="267"/>
      <c r="Q11" s="267"/>
    </row>
    <row r="12" spans="1:17">
      <c r="A12" s="284" t="s">
        <v>2</v>
      </c>
      <c r="B12" s="175">
        <v>10</v>
      </c>
      <c r="C12" s="175">
        <v>9.3000000000000007</v>
      </c>
      <c r="D12" s="175">
        <v>8.6999999999999993</v>
      </c>
      <c r="E12" s="175">
        <v>8.4</v>
      </c>
      <c r="F12" s="175">
        <v>7.9</v>
      </c>
      <c r="G12" s="175">
        <v>7.6</v>
      </c>
      <c r="H12" s="175">
        <v>7.4</v>
      </c>
      <c r="I12" s="175">
        <v>7.7</v>
      </c>
      <c r="J12" s="175">
        <v>7.5</v>
      </c>
      <c r="K12" s="175">
        <v>7.3</v>
      </c>
      <c r="L12" s="267"/>
      <c r="M12" s="267"/>
      <c r="N12" s="267"/>
      <c r="O12" s="267"/>
      <c r="P12" s="267"/>
      <c r="Q12" s="267"/>
    </row>
    <row r="13" spans="1:17">
      <c r="A13" s="283" t="s">
        <v>10</v>
      </c>
      <c r="B13" s="175">
        <v>5.3</v>
      </c>
      <c r="C13" s="175">
        <v>5.0999999999999996</v>
      </c>
      <c r="D13" s="175">
        <v>5</v>
      </c>
      <c r="E13" s="175">
        <v>4.8</v>
      </c>
      <c r="F13" s="175">
        <v>4.5999999999999996</v>
      </c>
      <c r="G13" s="175">
        <v>4.4000000000000004</v>
      </c>
      <c r="H13" s="175">
        <v>4.2</v>
      </c>
      <c r="I13" s="175">
        <v>4.3</v>
      </c>
      <c r="J13" s="175">
        <v>4.2</v>
      </c>
      <c r="K13" s="175">
        <v>4.0999999999999996</v>
      </c>
      <c r="L13" s="267"/>
      <c r="M13" s="267"/>
      <c r="N13" s="267"/>
      <c r="O13" s="267"/>
      <c r="P13" s="267"/>
      <c r="Q13" s="267"/>
    </row>
    <row r="14" spans="1:17">
      <c r="A14" s="283" t="s">
        <v>11</v>
      </c>
      <c r="B14" s="175">
        <v>4.7</v>
      </c>
      <c r="C14" s="175">
        <v>4.2</v>
      </c>
      <c r="D14" s="175">
        <v>3.7</v>
      </c>
      <c r="E14" s="175">
        <v>3.6</v>
      </c>
      <c r="F14" s="175">
        <v>3.3</v>
      </c>
      <c r="G14" s="175">
        <v>3.2</v>
      </c>
      <c r="H14" s="175">
        <v>3.2</v>
      </c>
      <c r="I14" s="175">
        <v>3.5</v>
      </c>
      <c r="J14" s="175">
        <v>3.3</v>
      </c>
      <c r="K14" s="175">
        <v>3.2</v>
      </c>
      <c r="L14" s="267"/>
      <c r="M14" s="267"/>
      <c r="N14" s="267"/>
      <c r="O14" s="267"/>
      <c r="P14" s="267"/>
      <c r="Q14" s="267"/>
    </row>
    <row r="15" spans="1:17">
      <c r="A15" s="284" t="s">
        <v>15</v>
      </c>
      <c r="B15" s="175">
        <v>1.8</v>
      </c>
      <c r="C15" s="175">
        <v>1.9</v>
      </c>
      <c r="D15" s="175">
        <v>1.8</v>
      </c>
      <c r="E15" s="175">
        <v>1.7</v>
      </c>
      <c r="F15" s="175">
        <v>1.6</v>
      </c>
      <c r="G15" s="175">
        <v>1.5</v>
      </c>
      <c r="H15" s="175">
        <v>1.4</v>
      </c>
      <c r="I15" s="175">
        <v>1.3</v>
      </c>
      <c r="J15" s="175">
        <v>1.7</v>
      </c>
      <c r="K15" s="175">
        <v>1.8</v>
      </c>
      <c r="L15" s="267"/>
      <c r="M15" s="267"/>
      <c r="N15" s="267"/>
      <c r="O15" s="267"/>
      <c r="P15" s="267"/>
      <c r="Q15" s="267"/>
    </row>
    <row r="16" spans="1:17">
      <c r="A16" s="284" t="s">
        <v>89</v>
      </c>
      <c r="B16" s="175">
        <v>0.8</v>
      </c>
      <c r="C16" s="175">
        <v>0.8</v>
      </c>
      <c r="D16" s="175">
        <v>0.7</v>
      </c>
      <c r="E16" s="175">
        <v>0.6</v>
      </c>
      <c r="F16" s="175">
        <v>0.6</v>
      </c>
      <c r="G16" s="175">
        <v>0.6</v>
      </c>
      <c r="H16" s="175">
        <v>0.5</v>
      </c>
      <c r="I16" s="175">
        <v>0.5</v>
      </c>
      <c r="J16" s="175">
        <v>0.5</v>
      </c>
      <c r="K16" s="175">
        <v>0.4</v>
      </c>
      <c r="L16" s="267"/>
      <c r="M16" s="267"/>
      <c r="N16" s="267"/>
      <c r="O16" s="267"/>
      <c r="P16" s="267"/>
      <c r="Q16" s="267"/>
    </row>
    <row r="17" spans="1:17">
      <c r="A17" s="284" t="s">
        <v>3</v>
      </c>
      <c r="B17" s="175">
        <v>5.0999999999999996</v>
      </c>
      <c r="C17" s="175">
        <v>5.0999999999999996</v>
      </c>
      <c r="D17" s="175">
        <v>5.4</v>
      </c>
      <c r="E17" s="175">
        <v>5.8</v>
      </c>
      <c r="F17" s="175">
        <v>6.2</v>
      </c>
      <c r="G17" s="175">
        <v>7</v>
      </c>
      <c r="H17" s="175">
        <v>7.1</v>
      </c>
      <c r="I17" s="175">
        <v>7.1</v>
      </c>
      <c r="J17" s="175">
        <v>6.7</v>
      </c>
      <c r="K17" s="175">
        <v>6.3</v>
      </c>
      <c r="L17" s="267"/>
      <c r="M17" s="267"/>
      <c r="N17" s="267"/>
      <c r="O17" s="267"/>
      <c r="P17" s="267"/>
      <c r="Q17" s="267"/>
    </row>
    <row r="18" spans="1:17">
      <c r="A18" s="284" t="s">
        <v>4</v>
      </c>
      <c r="B18" s="175">
        <v>8.5</v>
      </c>
      <c r="C18" s="175">
        <v>8.3000000000000007</v>
      </c>
      <c r="D18" s="175">
        <v>8.4</v>
      </c>
      <c r="E18" s="175">
        <v>8.1999999999999993</v>
      </c>
      <c r="F18" s="175">
        <v>8.1999999999999993</v>
      </c>
      <c r="G18" s="175">
        <v>8.1</v>
      </c>
      <c r="H18" s="175">
        <v>7.9</v>
      </c>
      <c r="I18" s="175">
        <v>7.7</v>
      </c>
      <c r="J18" s="175">
        <v>7.7</v>
      </c>
      <c r="K18" s="175">
        <v>7.5</v>
      </c>
      <c r="L18" s="267"/>
      <c r="M18" s="267"/>
      <c r="N18" s="267"/>
      <c r="O18" s="267"/>
      <c r="P18" s="267"/>
      <c r="Q18" s="267"/>
    </row>
    <row r="19" spans="1:17">
      <c r="A19" s="284" t="s">
        <v>9</v>
      </c>
      <c r="B19" s="175">
        <v>10.4</v>
      </c>
      <c r="C19" s="175">
        <v>10.199999999999999</v>
      </c>
      <c r="D19" s="175">
        <v>10.199999999999999</v>
      </c>
      <c r="E19" s="175">
        <v>11.3</v>
      </c>
      <c r="F19" s="175">
        <v>11.7</v>
      </c>
      <c r="G19" s="175">
        <v>10.8</v>
      </c>
      <c r="H19" s="175">
        <v>11.6</v>
      </c>
      <c r="I19" s="175">
        <v>13.2</v>
      </c>
      <c r="J19" s="175">
        <v>13.2</v>
      </c>
      <c r="K19" s="175">
        <v>12.7</v>
      </c>
      <c r="L19" s="267"/>
      <c r="M19" s="267"/>
      <c r="N19" s="267"/>
      <c r="O19" s="267"/>
      <c r="P19" s="267"/>
      <c r="Q19" s="267"/>
    </row>
    <row r="20" spans="1:17">
      <c r="A20" s="283" t="s">
        <v>163</v>
      </c>
      <c r="B20" s="175">
        <v>8.3000000000000007</v>
      </c>
      <c r="C20" s="175">
        <v>7.9</v>
      </c>
      <c r="D20" s="175">
        <v>8.1999999999999993</v>
      </c>
      <c r="E20" s="175">
        <v>9.1999999999999993</v>
      </c>
      <c r="F20" s="175">
        <v>9.6</v>
      </c>
      <c r="G20" s="175">
        <v>9.1999999999999993</v>
      </c>
      <c r="H20" s="175">
        <v>9.9</v>
      </c>
      <c r="I20" s="175">
        <v>11.4</v>
      </c>
      <c r="J20" s="175">
        <v>11.3</v>
      </c>
      <c r="K20" s="175">
        <v>10.8</v>
      </c>
      <c r="L20" s="267"/>
      <c r="M20" s="267"/>
      <c r="N20" s="267"/>
      <c r="O20" s="267"/>
      <c r="P20" s="267"/>
      <c r="Q20" s="267"/>
    </row>
    <row r="21" spans="1:17">
      <c r="A21" s="283" t="s">
        <v>164</v>
      </c>
      <c r="B21" s="175">
        <v>0.9</v>
      </c>
      <c r="C21" s="175">
        <v>1.1000000000000001</v>
      </c>
      <c r="D21" s="175">
        <v>0.9</v>
      </c>
      <c r="E21" s="175">
        <v>0.9</v>
      </c>
      <c r="F21" s="175">
        <v>0.9</v>
      </c>
      <c r="G21" s="175">
        <v>0.4</v>
      </c>
      <c r="H21" s="175">
        <v>0.6</v>
      </c>
      <c r="I21" s="175">
        <v>0.8</v>
      </c>
      <c r="J21" s="175">
        <v>1</v>
      </c>
      <c r="K21" s="175">
        <v>1</v>
      </c>
      <c r="L21" s="267"/>
      <c r="M21" s="267"/>
      <c r="N21" s="267"/>
      <c r="O21" s="267"/>
      <c r="P21" s="267"/>
      <c r="Q21" s="267"/>
    </row>
    <row r="22" spans="1:17">
      <c r="A22" s="283" t="s">
        <v>165</v>
      </c>
      <c r="B22" s="175">
        <v>1.2</v>
      </c>
      <c r="C22" s="175">
        <v>1.2</v>
      </c>
      <c r="D22" s="175">
        <v>1.2</v>
      </c>
      <c r="E22" s="175">
        <v>1.2</v>
      </c>
      <c r="F22" s="175">
        <v>1.2</v>
      </c>
      <c r="G22" s="175">
        <v>1.1000000000000001</v>
      </c>
      <c r="H22" s="175">
        <v>1</v>
      </c>
      <c r="I22" s="175">
        <v>0.9</v>
      </c>
      <c r="J22" s="175">
        <v>0.8</v>
      </c>
      <c r="K22" s="175">
        <v>0.8</v>
      </c>
      <c r="L22" s="267"/>
      <c r="M22" s="267"/>
      <c r="N22" s="267"/>
      <c r="O22" s="267"/>
      <c r="P22" s="267"/>
      <c r="Q22" s="267"/>
    </row>
    <row r="23" spans="1:17">
      <c r="A23" s="284" t="s">
        <v>99</v>
      </c>
      <c r="B23" s="175">
        <v>0.9</v>
      </c>
      <c r="C23" s="175">
        <v>0.9</v>
      </c>
      <c r="D23" s="175">
        <v>1</v>
      </c>
      <c r="E23" s="175">
        <v>1.1000000000000001</v>
      </c>
      <c r="F23" s="175">
        <v>1.2</v>
      </c>
      <c r="G23" s="175">
        <v>0.7</v>
      </c>
      <c r="H23" s="175">
        <v>1.1000000000000001</v>
      </c>
      <c r="I23" s="175">
        <v>1.1000000000000001</v>
      </c>
      <c r="J23" s="175">
        <v>1.3</v>
      </c>
      <c r="K23" s="175">
        <v>1.6</v>
      </c>
      <c r="L23" s="267"/>
      <c r="M23" s="267"/>
      <c r="N23" s="267"/>
      <c r="O23" s="267"/>
      <c r="P23" s="267"/>
      <c r="Q23" s="267"/>
    </row>
    <row r="24" spans="1:17">
      <c r="A24" s="284" t="s">
        <v>82</v>
      </c>
      <c r="B24" s="175">
        <v>2.7</v>
      </c>
      <c r="C24" s="175">
        <v>2.7</v>
      </c>
      <c r="D24" s="175">
        <v>2.6</v>
      </c>
      <c r="E24" s="175">
        <v>2.6</v>
      </c>
      <c r="F24" s="175">
        <v>2.5</v>
      </c>
      <c r="G24" s="175">
        <v>2.6</v>
      </c>
      <c r="H24" s="175">
        <v>2.4</v>
      </c>
      <c r="I24" s="175">
        <v>2.2999999999999998</v>
      </c>
      <c r="J24" s="175">
        <v>2.2999999999999998</v>
      </c>
      <c r="K24" s="175">
        <v>2.2000000000000002</v>
      </c>
      <c r="L24" s="267"/>
      <c r="M24" s="267"/>
      <c r="N24" s="267"/>
      <c r="O24" s="267"/>
      <c r="P24" s="267"/>
      <c r="Q24" s="267"/>
    </row>
    <row r="25" spans="1:17">
      <c r="A25" s="283" t="s">
        <v>90</v>
      </c>
      <c r="B25" s="287">
        <v>1.7</v>
      </c>
      <c r="C25" s="287">
        <v>1.8</v>
      </c>
      <c r="D25" s="175">
        <v>1.7</v>
      </c>
      <c r="E25" s="175">
        <v>1.7</v>
      </c>
      <c r="F25" s="175">
        <v>1.7</v>
      </c>
      <c r="G25" s="175">
        <v>1.8</v>
      </c>
      <c r="H25" s="175">
        <v>1.7</v>
      </c>
      <c r="I25" s="175">
        <v>1.6</v>
      </c>
      <c r="J25" s="287">
        <v>1.6</v>
      </c>
      <c r="K25" s="287">
        <v>1.6</v>
      </c>
      <c r="L25" s="267"/>
      <c r="M25" s="267"/>
      <c r="N25" s="267"/>
      <c r="O25" s="267"/>
      <c r="P25" s="267"/>
      <c r="Q25" s="267"/>
    </row>
    <row r="26" spans="1:17">
      <c r="A26" s="283" t="s">
        <v>91</v>
      </c>
      <c r="B26" s="287">
        <v>0.9</v>
      </c>
      <c r="C26" s="287">
        <v>1</v>
      </c>
      <c r="D26" s="175">
        <v>0.9</v>
      </c>
      <c r="E26" s="175">
        <v>0.9</v>
      </c>
      <c r="F26" s="175">
        <v>0.8</v>
      </c>
      <c r="G26" s="175">
        <v>0.8</v>
      </c>
      <c r="H26" s="175">
        <v>0.8</v>
      </c>
      <c r="I26" s="175">
        <v>0.7</v>
      </c>
      <c r="J26" s="287">
        <v>0.7</v>
      </c>
      <c r="K26" s="287">
        <v>0.6</v>
      </c>
      <c r="L26" s="267"/>
      <c r="M26" s="267"/>
      <c r="N26" s="267"/>
      <c r="O26" s="267"/>
      <c r="P26" s="267"/>
      <c r="Q26" s="267"/>
    </row>
    <row r="27" spans="1:17">
      <c r="A27" s="284" t="s">
        <v>92</v>
      </c>
      <c r="B27" s="287">
        <v>7.1</v>
      </c>
      <c r="C27" s="287">
        <v>7.8</v>
      </c>
      <c r="D27" s="175">
        <v>7.5</v>
      </c>
      <c r="E27" s="175">
        <v>6.7</v>
      </c>
      <c r="F27" s="175">
        <v>6.5</v>
      </c>
      <c r="G27" s="175">
        <v>6.7</v>
      </c>
      <c r="H27" s="175">
        <v>7.2</v>
      </c>
      <c r="I27" s="175">
        <v>7.4</v>
      </c>
      <c r="J27" s="287">
        <v>7.8</v>
      </c>
      <c r="K27" s="287">
        <v>7.9</v>
      </c>
      <c r="L27" s="267"/>
      <c r="M27" s="267"/>
      <c r="N27" s="267"/>
      <c r="O27" s="267"/>
      <c r="P27" s="267"/>
      <c r="Q27" s="267"/>
    </row>
    <row r="28" spans="1:17">
      <c r="A28" s="283" t="s">
        <v>176</v>
      </c>
      <c r="B28" s="175">
        <v>5.6</v>
      </c>
      <c r="C28" s="175">
        <v>6.3</v>
      </c>
      <c r="D28" s="175">
        <v>6</v>
      </c>
      <c r="E28" s="175">
        <v>5.0999999999999996</v>
      </c>
      <c r="F28" s="175">
        <v>5</v>
      </c>
      <c r="G28" s="175">
        <v>5.0999999999999996</v>
      </c>
      <c r="H28" s="175">
        <v>5.2</v>
      </c>
      <c r="I28" s="175">
        <v>5.4</v>
      </c>
      <c r="J28" s="175">
        <v>5.7</v>
      </c>
      <c r="K28" s="175">
        <v>5.6</v>
      </c>
      <c r="L28" s="267"/>
      <c r="M28" s="267"/>
      <c r="N28" s="267"/>
      <c r="O28" s="267"/>
      <c r="P28" s="267"/>
      <c r="Q28" s="267"/>
    </row>
    <row r="29" spans="1:17">
      <c r="A29" s="283" t="s">
        <v>177</v>
      </c>
      <c r="B29" s="175">
        <v>1.6</v>
      </c>
      <c r="C29" s="175">
        <v>1.5</v>
      </c>
      <c r="D29" s="175">
        <v>1.5</v>
      </c>
      <c r="E29" s="175">
        <v>1.5</v>
      </c>
      <c r="F29" s="175">
        <v>1.5</v>
      </c>
      <c r="G29" s="175">
        <v>1.7</v>
      </c>
      <c r="H29" s="175">
        <v>2</v>
      </c>
      <c r="I29" s="175">
        <v>2</v>
      </c>
      <c r="J29" s="175">
        <v>2.1</v>
      </c>
      <c r="K29" s="175">
        <v>2.2999999999999998</v>
      </c>
      <c r="L29" s="267"/>
      <c r="M29" s="267"/>
      <c r="N29" s="267"/>
      <c r="O29" s="267"/>
      <c r="P29" s="267"/>
      <c r="Q29" s="267"/>
    </row>
    <row r="30" spans="1:17">
      <c r="A30" s="284" t="s">
        <v>93</v>
      </c>
      <c r="B30" s="175">
        <v>9</v>
      </c>
      <c r="C30" s="175">
        <v>9.3000000000000007</v>
      </c>
      <c r="D30" s="175">
        <v>9.3000000000000007</v>
      </c>
      <c r="E30" s="175">
        <v>9.4</v>
      </c>
      <c r="F30" s="175">
        <v>9.1999999999999993</v>
      </c>
      <c r="G30" s="175">
        <v>9.3000000000000007</v>
      </c>
      <c r="H30" s="175">
        <v>9</v>
      </c>
      <c r="I30" s="175">
        <v>8.5</v>
      </c>
      <c r="J30" s="175">
        <v>8.4</v>
      </c>
      <c r="K30" s="175">
        <v>8.4</v>
      </c>
      <c r="L30" s="267"/>
      <c r="M30" s="267"/>
      <c r="N30" s="267"/>
      <c r="O30" s="267"/>
      <c r="P30" s="267"/>
      <c r="Q30" s="267"/>
    </row>
    <row r="31" spans="1:17">
      <c r="A31" s="284" t="s">
        <v>94</v>
      </c>
      <c r="B31" s="175">
        <v>2</v>
      </c>
      <c r="C31" s="175">
        <v>1.9</v>
      </c>
      <c r="D31" s="175">
        <v>1.8</v>
      </c>
      <c r="E31" s="175">
        <v>1.8</v>
      </c>
      <c r="F31" s="175">
        <v>1.7</v>
      </c>
      <c r="G31" s="175">
        <v>1.5</v>
      </c>
      <c r="H31" s="175">
        <v>1.5</v>
      </c>
      <c r="I31" s="175">
        <v>1.4</v>
      </c>
      <c r="J31" s="175">
        <v>1.4</v>
      </c>
      <c r="K31" s="175">
        <v>1.4</v>
      </c>
      <c r="L31" s="267"/>
      <c r="M31" s="267"/>
      <c r="N31" s="267"/>
      <c r="O31" s="267"/>
      <c r="P31" s="267"/>
      <c r="Q31" s="267"/>
    </row>
    <row r="32" spans="1:17">
      <c r="A32" s="284" t="s">
        <v>95</v>
      </c>
      <c r="B32" s="175">
        <v>1.1000000000000001</v>
      </c>
      <c r="C32" s="175">
        <v>1</v>
      </c>
      <c r="D32" s="175">
        <v>1</v>
      </c>
      <c r="E32" s="175">
        <v>1</v>
      </c>
      <c r="F32" s="175">
        <v>1.1000000000000001</v>
      </c>
      <c r="G32" s="175">
        <v>0.9</v>
      </c>
      <c r="H32" s="175">
        <v>0.9</v>
      </c>
      <c r="I32" s="175">
        <v>1</v>
      </c>
      <c r="J32" s="175">
        <v>1</v>
      </c>
      <c r="K32" s="175">
        <v>1.1000000000000001</v>
      </c>
      <c r="L32" s="267"/>
      <c r="M32" s="267"/>
      <c r="N32" s="267"/>
      <c r="O32" s="267"/>
      <c r="P32" s="267"/>
      <c r="Q32" s="267"/>
    </row>
    <row r="33" spans="1:18">
      <c r="A33" s="284" t="s">
        <v>16</v>
      </c>
      <c r="B33" s="175">
        <v>5.6</v>
      </c>
      <c r="C33" s="175">
        <v>5.4</v>
      </c>
      <c r="D33" s="175">
        <v>5.2</v>
      </c>
      <c r="E33" s="175">
        <v>5.3</v>
      </c>
      <c r="F33" s="175">
        <v>5.3</v>
      </c>
      <c r="G33" s="175">
        <v>5.5</v>
      </c>
      <c r="H33" s="175">
        <v>5.3</v>
      </c>
      <c r="I33" s="175">
        <v>5</v>
      </c>
      <c r="J33" s="175">
        <v>4.9000000000000004</v>
      </c>
      <c r="K33" s="175">
        <v>5</v>
      </c>
      <c r="L33" s="267"/>
      <c r="M33" s="267"/>
      <c r="N33" s="267"/>
      <c r="O33" s="267"/>
      <c r="P33" s="267"/>
      <c r="Q33" s="267"/>
    </row>
    <row r="34" spans="1:18">
      <c r="A34" s="284" t="s">
        <v>12</v>
      </c>
      <c r="B34" s="175">
        <v>4.5999999999999996</v>
      </c>
      <c r="C34" s="175">
        <v>4.5</v>
      </c>
      <c r="D34" s="175">
        <v>4.3</v>
      </c>
      <c r="E34" s="175">
        <v>4.3</v>
      </c>
      <c r="F34" s="175">
        <v>4.2</v>
      </c>
      <c r="G34" s="175">
        <v>3.9</v>
      </c>
      <c r="H34" s="175">
        <v>4.3</v>
      </c>
      <c r="I34" s="175">
        <v>4</v>
      </c>
      <c r="J34" s="175">
        <v>3.8</v>
      </c>
      <c r="K34" s="175">
        <v>3.8</v>
      </c>
      <c r="L34" s="267"/>
      <c r="M34" s="267"/>
      <c r="N34" s="267"/>
      <c r="O34" s="267"/>
      <c r="P34" s="267"/>
      <c r="Q34" s="267"/>
    </row>
    <row r="35" spans="1:18">
      <c r="A35" s="283" t="s">
        <v>168</v>
      </c>
      <c r="B35" s="175">
        <v>2.1</v>
      </c>
      <c r="C35" s="175">
        <v>2.1</v>
      </c>
      <c r="D35" s="175">
        <v>2.2000000000000002</v>
      </c>
      <c r="E35" s="175">
        <v>2.2000000000000002</v>
      </c>
      <c r="F35" s="175">
        <v>2.1</v>
      </c>
      <c r="G35" s="175">
        <v>2</v>
      </c>
      <c r="H35" s="175">
        <v>2.1</v>
      </c>
      <c r="I35" s="175">
        <v>2</v>
      </c>
      <c r="J35" s="175">
        <v>1.9</v>
      </c>
      <c r="K35" s="175">
        <v>1.8</v>
      </c>
      <c r="L35" s="267"/>
      <c r="M35" s="267"/>
      <c r="N35" s="267"/>
      <c r="O35" s="267"/>
      <c r="P35" s="267"/>
      <c r="Q35" s="267"/>
    </row>
    <row r="36" spans="1:18">
      <c r="A36" s="283" t="s">
        <v>166</v>
      </c>
      <c r="B36" s="175">
        <v>1.2</v>
      </c>
      <c r="C36" s="175">
        <v>1.2</v>
      </c>
      <c r="D36" s="175">
        <v>1.2</v>
      </c>
      <c r="E36" s="175">
        <v>1.2</v>
      </c>
      <c r="F36" s="175">
        <v>1.2</v>
      </c>
      <c r="G36" s="175">
        <v>1</v>
      </c>
      <c r="H36" s="175">
        <v>1.2</v>
      </c>
      <c r="I36" s="175">
        <v>1.1000000000000001</v>
      </c>
      <c r="J36" s="175">
        <v>1.1000000000000001</v>
      </c>
      <c r="K36" s="175">
        <v>1.1000000000000001</v>
      </c>
      <c r="L36" s="267"/>
      <c r="M36" s="267"/>
      <c r="N36" s="267"/>
      <c r="O36" s="267"/>
      <c r="P36" s="267"/>
      <c r="Q36" s="267"/>
    </row>
    <row r="37" spans="1:18">
      <c r="A37" s="283" t="s">
        <v>167</v>
      </c>
      <c r="B37" s="175">
        <v>1.2</v>
      </c>
      <c r="C37" s="175">
        <v>1.2</v>
      </c>
      <c r="D37" s="175">
        <v>1</v>
      </c>
      <c r="E37" s="175">
        <v>0.9</v>
      </c>
      <c r="F37" s="175">
        <v>0.9</v>
      </c>
      <c r="G37" s="175">
        <v>0.9</v>
      </c>
      <c r="H37" s="175">
        <v>1</v>
      </c>
      <c r="I37" s="175">
        <v>0.9</v>
      </c>
      <c r="J37" s="175">
        <v>0.9</v>
      </c>
      <c r="K37" s="175">
        <v>0.9</v>
      </c>
      <c r="L37" s="267"/>
      <c r="M37" s="267"/>
      <c r="N37" s="267"/>
      <c r="O37" s="267"/>
      <c r="P37" s="267"/>
      <c r="Q37" s="267"/>
    </row>
    <row r="38" spans="1:18">
      <c r="A38" s="284" t="s">
        <v>100</v>
      </c>
      <c r="B38" s="175">
        <v>2</v>
      </c>
      <c r="C38" s="175">
        <v>2.1</v>
      </c>
      <c r="D38" s="175">
        <v>2.1</v>
      </c>
      <c r="E38" s="175">
        <v>2</v>
      </c>
      <c r="F38" s="175">
        <v>1.9</v>
      </c>
      <c r="G38" s="175">
        <v>2</v>
      </c>
      <c r="H38" s="175">
        <v>2</v>
      </c>
      <c r="I38" s="175">
        <v>1.8</v>
      </c>
      <c r="J38" s="175">
        <v>1.7</v>
      </c>
      <c r="K38" s="175">
        <v>1.7</v>
      </c>
      <c r="L38" s="267"/>
      <c r="M38" s="267"/>
      <c r="N38" s="267"/>
      <c r="O38" s="267"/>
      <c r="P38" s="267"/>
      <c r="Q38" s="267"/>
    </row>
    <row r="39" spans="1:18">
      <c r="A39" s="284" t="s">
        <v>96</v>
      </c>
      <c r="B39" s="175">
        <v>0.2</v>
      </c>
      <c r="C39" s="175">
        <v>0.2</v>
      </c>
      <c r="D39" s="175">
        <v>0.3</v>
      </c>
      <c r="E39" s="175">
        <v>0.3</v>
      </c>
      <c r="F39" s="175">
        <v>0.3</v>
      </c>
      <c r="G39" s="175">
        <v>0.2</v>
      </c>
      <c r="H39" s="175">
        <v>0.2</v>
      </c>
      <c r="I39" s="175">
        <v>0.2</v>
      </c>
      <c r="J39" s="175">
        <v>0.2</v>
      </c>
      <c r="K39" s="175">
        <v>0.2</v>
      </c>
      <c r="L39" s="267"/>
      <c r="M39" s="267"/>
      <c r="N39" s="267"/>
      <c r="O39" s="267"/>
      <c r="P39" s="267"/>
      <c r="Q39" s="267"/>
    </row>
    <row r="40" spans="1:18">
      <c r="A40" s="284" t="s">
        <v>97</v>
      </c>
      <c r="B40" s="175">
        <v>1.4</v>
      </c>
      <c r="C40" s="175">
        <v>1.4</v>
      </c>
      <c r="D40" s="175">
        <v>1.4</v>
      </c>
      <c r="E40" s="175">
        <v>1.5</v>
      </c>
      <c r="F40" s="175">
        <v>1.4</v>
      </c>
      <c r="G40" s="175">
        <v>1.2</v>
      </c>
      <c r="H40" s="175">
        <v>1.2</v>
      </c>
      <c r="I40" s="175">
        <v>1.2</v>
      </c>
      <c r="J40" s="175">
        <v>1.1000000000000001</v>
      </c>
      <c r="K40" s="175">
        <v>1.1000000000000001</v>
      </c>
      <c r="L40" s="267"/>
      <c r="M40" s="267"/>
      <c r="N40" s="267"/>
      <c r="O40" s="267"/>
      <c r="P40" s="267"/>
      <c r="Q40" s="267"/>
    </row>
    <row r="41" spans="1:18">
      <c r="A41" s="284" t="s">
        <v>98</v>
      </c>
      <c r="B41" s="175">
        <v>0.7</v>
      </c>
      <c r="C41" s="175">
        <v>0.7</v>
      </c>
      <c r="D41" s="175">
        <v>0.7</v>
      </c>
      <c r="E41" s="175">
        <v>0.7</v>
      </c>
      <c r="F41" s="175">
        <v>0.7</v>
      </c>
      <c r="G41" s="175">
        <v>0.7</v>
      </c>
      <c r="H41" s="175">
        <v>0.6</v>
      </c>
      <c r="I41" s="175">
        <v>0.6</v>
      </c>
      <c r="J41" s="175">
        <v>0.6</v>
      </c>
      <c r="K41" s="175">
        <v>0.6</v>
      </c>
      <c r="L41" s="267"/>
      <c r="M41" s="267"/>
      <c r="N41" s="267"/>
      <c r="O41" s="267"/>
      <c r="P41" s="267"/>
      <c r="Q41" s="267"/>
    </row>
    <row r="42" spans="1:18">
      <c r="A42" s="285" t="s">
        <v>141</v>
      </c>
      <c r="B42" s="177">
        <v>-3.1</v>
      </c>
      <c r="C42" s="177">
        <v>-3.4</v>
      </c>
      <c r="D42" s="177">
        <v>-2.8</v>
      </c>
      <c r="E42" s="177">
        <v>-2.2999999999999998</v>
      </c>
      <c r="F42" s="177">
        <v>-2.2000000000000002</v>
      </c>
      <c r="G42" s="177">
        <v>-2</v>
      </c>
      <c r="H42" s="177">
        <v>-2</v>
      </c>
      <c r="I42" s="177">
        <v>-1.9</v>
      </c>
      <c r="J42" s="177">
        <v>-2.2000000000000002</v>
      </c>
      <c r="K42" s="177">
        <v>-2</v>
      </c>
      <c r="L42" s="267"/>
      <c r="M42" s="267"/>
      <c r="N42" s="267"/>
      <c r="O42" s="267"/>
      <c r="P42" s="267"/>
      <c r="Q42" s="267"/>
    </row>
    <row r="43" spans="1:18">
      <c r="A43" s="281" t="s">
        <v>5</v>
      </c>
      <c r="B43" s="275">
        <v>91.4</v>
      </c>
      <c r="C43" s="275">
        <v>91.2</v>
      </c>
      <c r="D43" s="275">
        <v>91.4</v>
      </c>
      <c r="E43" s="275">
        <v>91.3</v>
      </c>
      <c r="F43" s="275">
        <v>91.5</v>
      </c>
      <c r="G43" s="275">
        <v>92</v>
      </c>
      <c r="H43" s="275">
        <v>91.7</v>
      </c>
      <c r="I43" s="275">
        <v>92.1</v>
      </c>
      <c r="J43" s="275">
        <v>91.9</v>
      </c>
      <c r="K43" s="275">
        <v>92.3</v>
      </c>
      <c r="L43" s="267"/>
      <c r="M43" s="267"/>
      <c r="N43" s="267"/>
      <c r="O43" s="267"/>
      <c r="P43" s="267"/>
      <c r="Q43" s="267"/>
      <c r="R43" s="204"/>
    </row>
    <row r="44" spans="1:18">
      <c r="A44" s="284" t="s">
        <v>8</v>
      </c>
      <c r="B44" s="175">
        <v>8.6</v>
      </c>
      <c r="C44" s="175">
        <v>8.8000000000000007</v>
      </c>
      <c r="D44" s="175">
        <v>8.6</v>
      </c>
      <c r="E44" s="175">
        <v>8.6999999999999993</v>
      </c>
      <c r="F44" s="175">
        <v>8.5</v>
      </c>
      <c r="G44" s="175">
        <v>8</v>
      </c>
      <c r="H44" s="175">
        <v>8.3000000000000007</v>
      </c>
      <c r="I44" s="175">
        <v>7.9</v>
      </c>
      <c r="J44" s="175">
        <v>8.1</v>
      </c>
      <c r="K44" s="175">
        <v>7.7</v>
      </c>
      <c r="L44" s="267"/>
      <c r="M44" s="267"/>
      <c r="N44" s="267"/>
      <c r="O44" s="267"/>
      <c r="P44" s="267"/>
      <c r="Q44" s="267"/>
    </row>
    <row r="45" spans="1:18">
      <c r="A45" s="286" t="s">
        <v>6</v>
      </c>
      <c r="B45" s="181">
        <v>100</v>
      </c>
      <c r="C45" s="181">
        <v>100</v>
      </c>
      <c r="D45" s="181">
        <v>100</v>
      </c>
      <c r="E45" s="181">
        <v>100</v>
      </c>
      <c r="F45" s="181">
        <v>100</v>
      </c>
      <c r="G45" s="181">
        <v>100</v>
      </c>
      <c r="H45" s="181">
        <v>100</v>
      </c>
      <c r="I45" s="181">
        <v>100</v>
      </c>
      <c r="J45" s="181">
        <v>100</v>
      </c>
      <c r="K45" s="181">
        <v>100</v>
      </c>
      <c r="L45" s="267"/>
      <c r="M45" s="267"/>
      <c r="N45" s="267"/>
      <c r="O45" s="267"/>
      <c r="P45" s="267"/>
      <c r="Q45" s="267"/>
    </row>
    <row r="46" spans="1:18">
      <c r="A46" s="367" t="s">
        <v>18</v>
      </c>
      <c r="B46" s="182"/>
      <c r="C46" s="182"/>
      <c r="D46" s="183"/>
      <c r="E46" s="182"/>
      <c r="F46" s="183"/>
      <c r="G46" s="183"/>
      <c r="H46" s="183"/>
      <c r="I46" s="183"/>
      <c r="J46" s="182"/>
      <c r="K46" s="182"/>
      <c r="M46" s="267"/>
    </row>
    <row r="47" spans="1:18">
      <c r="A47" s="364" t="s">
        <v>202</v>
      </c>
      <c r="B47" s="20"/>
      <c r="C47" s="20"/>
      <c r="D47" s="25"/>
      <c r="E47" s="20"/>
      <c r="F47" s="25"/>
      <c r="G47" s="25"/>
      <c r="H47" s="25"/>
      <c r="I47" s="25"/>
      <c r="J47" s="20"/>
      <c r="K47" s="20"/>
      <c r="M47" s="267"/>
    </row>
    <row r="48" spans="1:18">
      <c r="A48" s="26"/>
      <c r="B48" s="20"/>
      <c r="C48" s="20"/>
      <c r="D48" s="25"/>
      <c r="E48" s="20"/>
      <c r="F48" s="25"/>
      <c r="G48" s="25"/>
      <c r="H48" s="25"/>
      <c r="I48" s="25"/>
      <c r="J48" s="20"/>
      <c r="K48" s="20"/>
    </row>
    <row r="49" spans="1:11">
      <c r="A49" s="23"/>
      <c r="B49" s="20"/>
      <c r="C49" s="20"/>
      <c r="D49" s="25"/>
      <c r="E49" s="20"/>
      <c r="F49" s="25"/>
      <c r="G49" s="25"/>
      <c r="H49" s="25"/>
      <c r="I49" s="25"/>
      <c r="J49" s="20"/>
      <c r="K49" s="20"/>
    </row>
    <row r="50" spans="1:11">
      <c r="A50" s="23"/>
      <c r="B50" s="20"/>
      <c r="C50" s="20"/>
      <c r="D50" s="25"/>
      <c r="E50" s="20"/>
      <c r="F50" s="25"/>
      <c r="G50" s="25"/>
      <c r="H50" s="25"/>
      <c r="I50" s="25"/>
      <c r="J50" s="20"/>
      <c r="K50" s="20"/>
    </row>
    <row r="51" spans="1:11">
      <c r="A51" s="23"/>
      <c r="B51" s="20"/>
      <c r="C51" s="20"/>
      <c r="D51" s="25"/>
      <c r="E51" s="20"/>
      <c r="F51" s="25"/>
      <c r="G51" s="25"/>
      <c r="H51" s="25"/>
      <c r="I51" s="25"/>
      <c r="J51" s="20"/>
      <c r="K51" s="20"/>
    </row>
    <row r="52" spans="1:11">
      <c r="A52" s="23"/>
      <c r="B52" s="20"/>
      <c r="C52" s="20"/>
      <c r="D52" s="25"/>
      <c r="E52" s="20"/>
      <c r="F52" s="25"/>
      <c r="G52" s="25"/>
      <c r="H52" s="25"/>
      <c r="I52" s="25"/>
      <c r="J52" s="20"/>
      <c r="K52" s="20"/>
    </row>
    <row r="53" spans="1:11">
      <c r="A53" s="23"/>
      <c r="B53" s="20"/>
      <c r="C53" s="20"/>
      <c r="D53" s="25"/>
      <c r="E53" s="20"/>
      <c r="F53" s="25"/>
      <c r="G53" s="25"/>
      <c r="H53" s="25"/>
      <c r="I53" s="25"/>
      <c r="J53" s="20"/>
      <c r="K53" s="20"/>
    </row>
    <row r="54" spans="1:11">
      <c r="A54" s="23"/>
      <c r="B54" s="20"/>
      <c r="C54" s="20"/>
      <c r="D54" s="25"/>
      <c r="E54" s="20"/>
      <c r="F54" s="25"/>
      <c r="G54" s="25"/>
      <c r="H54" s="25"/>
      <c r="I54" s="25"/>
      <c r="J54" s="20"/>
      <c r="K54" s="20"/>
    </row>
    <row r="55" spans="1:11">
      <c r="A55" s="27"/>
      <c r="B55" s="28"/>
      <c r="C55" s="28"/>
      <c r="D55" s="25"/>
      <c r="E55" s="28"/>
      <c r="F55" s="25"/>
      <c r="G55" s="25"/>
      <c r="H55" s="25"/>
      <c r="I55" s="25"/>
      <c r="J55" s="28"/>
      <c r="K55" s="28"/>
    </row>
    <row r="56" spans="1:11">
      <c r="A56" s="22"/>
      <c r="B56" s="21"/>
      <c r="C56" s="21"/>
      <c r="D56" s="29"/>
      <c r="E56" s="21"/>
      <c r="F56" s="29"/>
      <c r="G56" s="29"/>
      <c r="H56" s="29"/>
      <c r="I56" s="29"/>
      <c r="J56" s="21"/>
      <c r="K56" s="21"/>
    </row>
    <row r="57" spans="1:11">
      <c r="A57" s="22"/>
      <c r="B57" s="21"/>
      <c r="C57" s="21"/>
      <c r="D57" s="29"/>
      <c r="E57" s="21"/>
      <c r="F57" s="29"/>
      <c r="G57" s="29"/>
      <c r="H57" s="29"/>
      <c r="I57" s="29"/>
      <c r="J57" s="21"/>
      <c r="K57" s="21"/>
    </row>
    <row r="58" spans="1:11">
      <c r="A58" s="22"/>
      <c r="B58" s="21"/>
      <c r="C58" s="21"/>
      <c r="D58" s="29"/>
      <c r="E58" s="21"/>
      <c r="F58" s="29"/>
      <c r="G58" s="29"/>
      <c r="H58" s="29"/>
      <c r="I58" s="29"/>
      <c r="J58" s="21"/>
      <c r="K58" s="21"/>
    </row>
    <row r="59" spans="1:11">
      <c r="A59" s="22"/>
      <c r="B59" s="21"/>
      <c r="C59" s="21"/>
      <c r="D59" s="29"/>
      <c r="E59" s="21"/>
      <c r="F59" s="29"/>
      <c r="G59" s="29"/>
      <c r="H59" s="29"/>
      <c r="I59" s="29"/>
      <c r="J59" s="21"/>
      <c r="K59" s="21"/>
    </row>
    <row r="60" spans="1:11">
      <c r="A60" s="22"/>
      <c r="B60" s="21"/>
      <c r="C60" s="21"/>
      <c r="D60" s="29"/>
      <c r="E60" s="21"/>
      <c r="F60" s="29"/>
      <c r="G60" s="29"/>
      <c r="H60" s="29"/>
      <c r="I60" s="29"/>
      <c r="J60" s="21"/>
      <c r="K60" s="21"/>
    </row>
    <row r="61" spans="1:11">
      <c r="A61" s="22"/>
      <c r="B61" s="21"/>
      <c r="C61" s="21"/>
      <c r="D61" s="29"/>
      <c r="E61" s="21"/>
      <c r="F61" s="29"/>
      <c r="G61" s="29"/>
      <c r="H61" s="29"/>
      <c r="I61" s="29"/>
      <c r="J61" s="21"/>
      <c r="K61" s="21"/>
    </row>
    <row r="62" spans="1:11">
      <c r="A62" s="22"/>
      <c r="B62" s="21"/>
      <c r="C62" s="21"/>
      <c r="D62" s="29"/>
      <c r="E62" s="21"/>
      <c r="F62" s="29"/>
      <c r="G62" s="29"/>
      <c r="H62" s="29"/>
      <c r="I62" s="29"/>
      <c r="J62" s="21"/>
      <c r="K62" s="21"/>
    </row>
    <row r="63" spans="1:11">
      <c r="A63" s="22"/>
      <c r="B63" s="21"/>
      <c r="C63" s="21"/>
      <c r="D63" s="29"/>
      <c r="E63" s="21"/>
      <c r="F63" s="29"/>
      <c r="G63" s="29"/>
      <c r="H63" s="29"/>
      <c r="I63" s="29"/>
      <c r="J63" s="21"/>
      <c r="K63" s="21"/>
    </row>
    <row r="64" spans="1:11">
      <c r="A64" s="22"/>
      <c r="B64" s="30"/>
      <c r="C64" s="30"/>
      <c r="D64" s="29"/>
      <c r="E64" s="30"/>
      <c r="F64" s="29"/>
      <c r="G64" s="29"/>
      <c r="H64" s="29"/>
      <c r="I64" s="29"/>
      <c r="J64" s="30"/>
      <c r="K64" s="30"/>
    </row>
    <row r="65" spans="1:11">
      <c r="A65" s="31"/>
      <c r="B65" s="32"/>
      <c r="C65" s="32"/>
      <c r="D65" s="29"/>
      <c r="E65" s="32"/>
      <c r="F65" s="29"/>
      <c r="G65" s="29"/>
      <c r="H65" s="29"/>
      <c r="I65" s="29"/>
      <c r="J65" s="32"/>
      <c r="K65" s="32"/>
    </row>
    <row r="66" spans="1:11">
      <c r="A66" s="33"/>
      <c r="B66" s="21"/>
      <c r="C66" s="21"/>
      <c r="D66" s="29"/>
      <c r="E66" s="21"/>
      <c r="F66" s="29"/>
      <c r="G66" s="29"/>
      <c r="H66" s="29"/>
      <c r="I66" s="29"/>
      <c r="J66" s="21"/>
      <c r="K66" s="21"/>
    </row>
    <row r="67" spans="1:11">
      <c r="A67" s="33"/>
      <c r="B67" s="21"/>
      <c r="C67" s="21"/>
      <c r="D67" s="29"/>
      <c r="E67" s="21"/>
      <c r="F67" s="29"/>
      <c r="G67" s="29"/>
      <c r="H67" s="29"/>
      <c r="I67" s="29"/>
      <c r="J67" s="21"/>
      <c r="K67" s="21"/>
    </row>
    <row r="68" spans="1:11">
      <c r="A68" s="33"/>
      <c r="B68" s="21"/>
      <c r="C68" s="21"/>
      <c r="D68" s="29"/>
      <c r="E68" s="21"/>
      <c r="F68" s="29"/>
      <c r="G68" s="29"/>
      <c r="H68" s="29"/>
      <c r="I68" s="29"/>
      <c r="J68" s="21"/>
      <c r="K68" s="21"/>
    </row>
    <row r="69" spans="1:11">
      <c r="A69" s="22"/>
      <c r="B69" s="21"/>
      <c r="C69" s="21"/>
      <c r="D69" s="29"/>
      <c r="E69" s="21"/>
      <c r="F69" s="29"/>
      <c r="G69" s="29"/>
      <c r="H69" s="29"/>
      <c r="I69" s="29"/>
      <c r="J69" s="21"/>
      <c r="K69" s="21"/>
    </row>
    <row r="70" spans="1:11">
      <c r="A70" s="22"/>
      <c r="B70" s="21"/>
      <c r="C70" s="21"/>
      <c r="D70" s="29"/>
      <c r="E70" s="21"/>
      <c r="F70" s="29"/>
      <c r="G70" s="29"/>
      <c r="H70" s="29"/>
      <c r="I70" s="29"/>
      <c r="J70" s="21"/>
      <c r="K70" s="21"/>
    </row>
    <row r="71" spans="1:11">
      <c r="A71" s="22"/>
      <c r="B71" s="21"/>
      <c r="C71" s="21"/>
      <c r="D71" s="29"/>
      <c r="E71" s="21"/>
      <c r="F71" s="29"/>
      <c r="G71" s="29"/>
      <c r="H71" s="29"/>
      <c r="I71" s="29"/>
      <c r="J71" s="21"/>
      <c r="K71" s="21"/>
    </row>
    <row r="72" spans="1:11">
      <c r="A72" s="22"/>
      <c r="B72" s="21"/>
      <c r="C72" s="21"/>
      <c r="D72" s="29"/>
      <c r="E72" s="21"/>
      <c r="F72" s="29"/>
      <c r="G72" s="29"/>
      <c r="H72" s="29"/>
      <c r="I72" s="29"/>
      <c r="J72" s="21"/>
      <c r="K72" s="21"/>
    </row>
    <row r="73" spans="1:11">
      <c r="A73" s="22"/>
      <c r="B73" s="21"/>
      <c r="C73" s="21"/>
      <c r="D73" s="29"/>
      <c r="E73" s="21"/>
      <c r="F73" s="29"/>
      <c r="G73" s="29"/>
      <c r="H73" s="29"/>
      <c r="I73" s="29"/>
      <c r="J73" s="21"/>
      <c r="K73" s="21"/>
    </row>
  </sheetData>
  <pageMargins left="0.74803149606299202" right="0.23622047244094499" top="0.74803149606299202" bottom="0.511811023622047" header="0.23622047244094499" footer="0.23622047244094499"/>
  <pageSetup paperSize="9" scale="64" firstPageNumber="11" orientation="portrait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showGridLines="0" zoomScale="94" zoomScaleNormal="94" zoomScaleSheetLayoutView="100" workbookViewId="0">
      <pane xSplit="1" ySplit="4" topLeftCell="B30" activePane="bottomRight" state="frozen"/>
      <selection activeCell="E16" sqref="E16"/>
      <selection pane="topRight" activeCell="E16" sqref="E16"/>
      <selection pane="bottomLeft" activeCell="E16" sqref="E16"/>
      <selection pane="bottomRight" activeCell="E43" sqref="E43"/>
    </sheetView>
  </sheetViews>
  <sheetFormatPr defaultRowHeight="14.4"/>
  <cols>
    <col min="1" max="1" width="44.77734375" style="6" customWidth="1"/>
    <col min="2" max="9" width="9.88671875" style="6" customWidth="1"/>
    <col min="10" max="11" width="9.77734375" style="310" bestFit="1" customWidth="1"/>
    <col min="15" max="16" width="12.88671875" bestFit="1" customWidth="1"/>
  </cols>
  <sheetData>
    <row r="1" spans="1:18">
      <c r="A1" s="79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8">
      <c r="A2" s="269" t="s">
        <v>183</v>
      </c>
      <c r="B2" s="96"/>
      <c r="C2" s="96"/>
      <c r="D2" s="96"/>
      <c r="E2" s="96"/>
      <c r="F2" s="96"/>
      <c r="G2" s="96"/>
      <c r="H2" s="96"/>
      <c r="I2" s="96"/>
    </row>
    <row r="3" spans="1:18">
      <c r="A3" s="82"/>
      <c r="B3" s="97"/>
      <c r="C3" s="97"/>
      <c r="D3" s="97"/>
      <c r="E3" s="97"/>
      <c r="F3" s="97"/>
      <c r="G3" s="97"/>
      <c r="H3" s="94"/>
      <c r="I3" s="94"/>
      <c r="K3" s="366" t="s">
        <v>145</v>
      </c>
    </row>
    <row r="4" spans="1:18" ht="11.85" customHeight="1">
      <c r="A4" s="280" t="s">
        <v>0</v>
      </c>
      <c r="B4" s="104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179</v>
      </c>
      <c r="J4" s="104" t="s">
        <v>181</v>
      </c>
      <c r="K4" s="104" t="s">
        <v>182</v>
      </c>
    </row>
    <row r="5" spans="1:18">
      <c r="A5" s="184" t="s">
        <v>83</v>
      </c>
      <c r="B5" s="19">
        <v>1500584</v>
      </c>
      <c r="C5" s="19">
        <v>1521433</v>
      </c>
      <c r="D5" s="19">
        <v>1501817</v>
      </c>
      <c r="E5" s="19">
        <v>1587784</v>
      </c>
      <c r="F5" s="19">
        <v>1630607</v>
      </c>
      <c r="G5" s="19">
        <v>1705985</v>
      </c>
      <c r="H5" s="19">
        <v>1699959</v>
      </c>
      <c r="I5" s="19">
        <v>1675046.771484375</v>
      </c>
      <c r="J5" s="19">
        <v>1784776.181640625</v>
      </c>
      <c r="K5" s="19">
        <v>1867490.095703125</v>
      </c>
      <c r="L5" s="19"/>
      <c r="M5" s="19"/>
      <c r="N5" s="19"/>
      <c r="O5" s="19"/>
      <c r="P5" s="19"/>
      <c r="Q5" s="19"/>
      <c r="R5" s="204"/>
    </row>
    <row r="6" spans="1:18">
      <c r="A6" s="185" t="s">
        <v>84</v>
      </c>
      <c r="B6" s="19">
        <v>1072744</v>
      </c>
      <c r="C6" s="19">
        <v>1072482</v>
      </c>
      <c r="D6" s="19">
        <v>1061320</v>
      </c>
      <c r="E6" s="19">
        <v>1129072</v>
      </c>
      <c r="F6" s="19">
        <v>1163210</v>
      </c>
      <c r="G6" s="19">
        <v>1229311</v>
      </c>
      <c r="H6" s="19">
        <v>1211695</v>
      </c>
      <c r="I6" s="19">
        <v>1179015.25</v>
      </c>
      <c r="J6" s="19">
        <v>1255162.875</v>
      </c>
      <c r="K6" s="19">
        <v>1289256.25</v>
      </c>
      <c r="L6" s="19"/>
      <c r="M6" s="19"/>
      <c r="N6" s="19"/>
      <c r="O6" s="19"/>
      <c r="P6" s="19"/>
      <c r="Q6" s="19"/>
      <c r="R6" s="204"/>
    </row>
    <row r="7" spans="1:18">
      <c r="A7" s="185" t="s">
        <v>85</v>
      </c>
      <c r="B7" s="19">
        <v>287515</v>
      </c>
      <c r="C7" s="19">
        <v>307167</v>
      </c>
      <c r="D7" s="19">
        <v>286095</v>
      </c>
      <c r="E7" s="19">
        <v>299210</v>
      </c>
      <c r="F7" s="19">
        <v>304887</v>
      </c>
      <c r="G7" s="19">
        <v>315089</v>
      </c>
      <c r="H7" s="19">
        <v>327624</v>
      </c>
      <c r="I7" s="19">
        <v>324265.71875</v>
      </c>
      <c r="J7" s="19">
        <v>355630.65625</v>
      </c>
      <c r="K7" s="19">
        <v>389075.21875</v>
      </c>
      <c r="L7" s="19"/>
      <c r="M7" s="19"/>
      <c r="N7" s="19"/>
      <c r="O7" s="19"/>
      <c r="P7" s="19"/>
      <c r="Q7" s="19"/>
      <c r="R7" s="204"/>
    </row>
    <row r="8" spans="1:18">
      <c r="A8" s="185" t="s">
        <v>86</v>
      </c>
      <c r="B8" s="19">
        <v>17926</v>
      </c>
      <c r="C8" s="19">
        <v>16627</v>
      </c>
      <c r="D8" s="19">
        <v>18753</v>
      </c>
      <c r="E8" s="19">
        <v>21269</v>
      </c>
      <c r="F8" s="19">
        <v>22442</v>
      </c>
      <c r="G8" s="19">
        <v>23075</v>
      </c>
      <c r="H8" s="19">
        <v>23504</v>
      </c>
      <c r="I8" s="19">
        <v>23088.783203125</v>
      </c>
      <c r="J8" s="19">
        <v>23329.013671875</v>
      </c>
      <c r="K8" s="19">
        <v>27624.505859375</v>
      </c>
      <c r="L8" s="19"/>
      <c r="M8" s="19"/>
      <c r="N8" s="19"/>
      <c r="O8" s="19"/>
      <c r="P8" s="19"/>
      <c r="Q8" s="19"/>
      <c r="R8" s="204"/>
    </row>
    <row r="9" spans="1:18">
      <c r="A9" s="185" t="s">
        <v>87</v>
      </c>
      <c r="B9" s="19">
        <v>88450</v>
      </c>
      <c r="C9" s="19">
        <v>94562</v>
      </c>
      <c r="D9" s="19">
        <v>97686</v>
      </c>
      <c r="E9" s="19">
        <v>96678</v>
      </c>
      <c r="F9" s="19">
        <v>96789</v>
      </c>
      <c r="G9" s="19">
        <v>94871</v>
      </c>
      <c r="H9" s="19">
        <v>91894</v>
      </c>
      <c r="I9" s="19">
        <v>100014.0625</v>
      </c>
      <c r="J9" s="19">
        <v>103402.21875</v>
      </c>
      <c r="K9" s="19">
        <v>109402.2109375</v>
      </c>
      <c r="L9" s="19"/>
      <c r="M9" s="19"/>
      <c r="N9" s="19"/>
      <c r="O9" s="19"/>
      <c r="P9" s="19"/>
      <c r="Q9" s="19"/>
      <c r="R9" s="204"/>
    </row>
    <row r="10" spans="1:18">
      <c r="A10" s="185" t="s">
        <v>88</v>
      </c>
      <c r="B10" s="19">
        <v>33949</v>
      </c>
      <c r="C10" s="19">
        <v>30595</v>
      </c>
      <c r="D10" s="19">
        <v>37963</v>
      </c>
      <c r="E10" s="19">
        <v>41554</v>
      </c>
      <c r="F10" s="19">
        <v>43280</v>
      </c>
      <c r="G10" s="19">
        <v>43638</v>
      </c>
      <c r="H10" s="19">
        <v>45242</v>
      </c>
      <c r="I10" s="19">
        <v>48662.95703125</v>
      </c>
      <c r="J10" s="19">
        <v>47251.41796875</v>
      </c>
      <c r="K10" s="19">
        <v>52131.91015625</v>
      </c>
      <c r="L10" s="19"/>
      <c r="M10" s="19"/>
      <c r="N10" s="19"/>
      <c r="O10" s="19"/>
      <c r="P10" s="19"/>
      <c r="Q10" s="19"/>
      <c r="R10" s="204"/>
    </row>
    <row r="11" spans="1:18">
      <c r="A11" s="184" t="s">
        <v>1</v>
      </c>
      <c r="B11" s="19">
        <v>89426</v>
      </c>
      <c r="C11" s="19">
        <v>81280</v>
      </c>
      <c r="D11" s="19">
        <v>83907</v>
      </c>
      <c r="E11" s="19">
        <v>79986</v>
      </c>
      <c r="F11" s="19">
        <v>83386</v>
      </c>
      <c r="G11" s="19">
        <v>87968</v>
      </c>
      <c r="H11" s="19">
        <v>103842</v>
      </c>
      <c r="I11" s="19">
        <v>113457.71645355225</v>
      </c>
      <c r="J11" s="19">
        <v>106077.19070148468</v>
      </c>
      <c r="K11" s="19">
        <v>96345.805283546448</v>
      </c>
      <c r="L11" s="19"/>
      <c r="M11" s="19"/>
      <c r="N11" s="19"/>
      <c r="O11" s="19"/>
      <c r="P11" s="19"/>
      <c r="Q11" s="19"/>
      <c r="R11" s="204"/>
    </row>
    <row r="12" spans="1:18">
      <c r="A12" s="184" t="s">
        <v>2</v>
      </c>
      <c r="B12" s="19">
        <v>694698</v>
      </c>
      <c r="C12" s="19">
        <v>707880</v>
      </c>
      <c r="D12" s="19">
        <v>712807</v>
      </c>
      <c r="E12" s="19">
        <v>738305</v>
      </c>
      <c r="F12" s="19">
        <v>757794</v>
      </c>
      <c r="G12" s="19">
        <v>755608</v>
      </c>
      <c r="H12" s="19">
        <v>810827</v>
      </c>
      <c r="I12" s="19">
        <v>831900.15893554688</v>
      </c>
      <c r="J12" s="19">
        <v>849801.12622070313</v>
      </c>
      <c r="K12" s="19">
        <v>873831.205078125</v>
      </c>
      <c r="L12" s="19"/>
      <c r="M12" s="19"/>
      <c r="N12" s="19"/>
      <c r="O12" s="19"/>
      <c r="P12" s="19"/>
      <c r="Q12" s="19"/>
      <c r="R12" s="204"/>
    </row>
    <row r="13" spans="1:18">
      <c r="A13" s="185" t="s">
        <v>10</v>
      </c>
      <c r="B13" s="19">
        <v>381658</v>
      </c>
      <c r="C13" s="19">
        <v>390145</v>
      </c>
      <c r="D13" s="19">
        <v>395912</v>
      </c>
      <c r="E13" s="19">
        <v>417709</v>
      </c>
      <c r="F13" s="19">
        <v>429714</v>
      </c>
      <c r="G13" s="19">
        <v>423653</v>
      </c>
      <c r="H13" s="19">
        <v>443317</v>
      </c>
      <c r="I13" s="19">
        <v>446686.06665039063</v>
      </c>
      <c r="J13" s="19">
        <v>453182.40991210938</v>
      </c>
      <c r="K13" s="19">
        <v>474053.58837890625</v>
      </c>
      <c r="L13" s="19"/>
      <c r="M13" s="19"/>
      <c r="N13" s="19"/>
      <c r="O13" s="19"/>
      <c r="P13" s="19"/>
      <c r="Q13" s="19"/>
      <c r="R13" s="204"/>
    </row>
    <row r="14" spans="1:18">
      <c r="A14" s="185" t="s">
        <v>11</v>
      </c>
      <c r="B14" s="19">
        <v>313040</v>
      </c>
      <c r="C14" s="19">
        <v>317736</v>
      </c>
      <c r="D14" s="19">
        <v>316895</v>
      </c>
      <c r="E14" s="19">
        <v>320597</v>
      </c>
      <c r="F14" s="19">
        <v>328080</v>
      </c>
      <c r="G14" s="19">
        <v>331955</v>
      </c>
      <c r="H14" s="19">
        <v>367510</v>
      </c>
      <c r="I14" s="19">
        <v>385214.09228515625</v>
      </c>
      <c r="J14" s="19">
        <v>396618.71630859375</v>
      </c>
      <c r="K14" s="19">
        <v>399777.61669921875</v>
      </c>
      <c r="L14" s="19"/>
      <c r="M14" s="19"/>
      <c r="N14" s="19"/>
      <c r="O14" s="19"/>
      <c r="P14" s="19"/>
      <c r="Q14" s="19"/>
      <c r="R14" s="204"/>
    </row>
    <row r="15" spans="1:18">
      <c r="A15" s="184" t="s">
        <v>15</v>
      </c>
      <c r="B15" s="19">
        <v>137050</v>
      </c>
      <c r="C15" s="19">
        <v>142630</v>
      </c>
      <c r="D15" s="19">
        <v>150627</v>
      </c>
      <c r="E15" s="19">
        <v>156679</v>
      </c>
      <c r="F15" s="19">
        <v>159673</v>
      </c>
      <c r="G15" s="19">
        <v>158927</v>
      </c>
      <c r="H15" s="19">
        <v>167339</v>
      </c>
      <c r="I15" s="19">
        <v>176925.75</v>
      </c>
      <c r="J15" s="19">
        <v>182375.359375</v>
      </c>
      <c r="K15" s="19">
        <v>185894.234375</v>
      </c>
      <c r="L15" s="19"/>
      <c r="M15" s="19"/>
      <c r="N15" s="19"/>
      <c r="O15" s="19"/>
      <c r="P15" s="19"/>
      <c r="Q15" s="19"/>
      <c r="R15" s="204"/>
    </row>
    <row r="16" spans="1:18">
      <c r="A16" s="184" t="s">
        <v>89</v>
      </c>
      <c r="B16" s="19">
        <v>56623</v>
      </c>
      <c r="C16" s="19">
        <v>58206</v>
      </c>
      <c r="D16" s="19">
        <v>56323</v>
      </c>
      <c r="E16" s="19">
        <v>57743</v>
      </c>
      <c r="F16" s="19">
        <v>58473</v>
      </c>
      <c r="G16" s="19">
        <v>60591</v>
      </c>
      <c r="H16" s="19">
        <v>64420</v>
      </c>
      <c r="I16" s="19">
        <v>67626.2294921875</v>
      </c>
      <c r="J16" s="19">
        <v>69928.1982421875</v>
      </c>
      <c r="K16" s="19">
        <v>71265.177734375</v>
      </c>
      <c r="L16" s="19"/>
      <c r="M16" s="19"/>
      <c r="N16" s="19"/>
      <c r="O16" s="19"/>
      <c r="P16" s="19"/>
      <c r="Q16" s="19"/>
      <c r="R16" s="204"/>
    </row>
    <row r="17" spans="1:18">
      <c r="A17" s="184" t="s">
        <v>3</v>
      </c>
      <c r="B17" s="19">
        <v>367844</v>
      </c>
      <c r="C17" s="19">
        <v>389251</v>
      </c>
      <c r="D17" s="19">
        <v>413717</v>
      </c>
      <c r="E17" s="19">
        <v>438962</v>
      </c>
      <c r="F17" s="19">
        <v>470526</v>
      </c>
      <c r="G17" s="19">
        <v>517977</v>
      </c>
      <c r="H17" s="19">
        <v>552764</v>
      </c>
      <c r="I17" s="19">
        <v>575214.8125</v>
      </c>
      <c r="J17" s="19">
        <v>592396.3125</v>
      </c>
      <c r="K17" s="19">
        <v>588155.5</v>
      </c>
      <c r="L17" s="19"/>
      <c r="M17" s="19"/>
      <c r="N17" s="19"/>
      <c r="O17" s="19"/>
      <c r="P17" s="19"/>
      <c r="Q17" s="19"/>
      <c r="R17" s="204"/>
    </row>
    <row r="18" spans="1:18">
      <c r="A18" s="184" t="s">
        <v>4</v>
      </c>
      <c r="B18" s="19">
        <v>614193</v>
      </c>
      <c r="C18" s="19">
        <v>628416</v>
      </c>
      <c r="D18" s="19">
        <v>655259</v>
      </c>
      <c r="E18" s="19">
        <v>694215</v>
      </c>
      <c r="F18" s="19">
        <v>730922</v>
      </c>
      <c r="G18" s="19">
        <v>727726</v>
      </c>
      <c r="H18" s="19">
        <v>786202</v>
      </c>
      <c r="I18" s="19">
        <v>813957.78125</v>
      </c>
      <c r="J18" s="19">
        <v>841017.296875</v>
      </c>
      <c r="K18" s="19">
        <v>873375.59375</v>
      </c>
      <c r="L18" s="19"/>
      <c r="M18" s="19"/>
      <c r="N18" s="19"/>
      <c r="O18" s="19"/>
      <c r="P18" s="19"/>
      <c r="Q18" s="19"/>
      <c r="R18" s="204"/>
    </row>
    <row r="19" spans="1:18">
      <c r="A19" s="184" t="s">
        <v>9</v>
      </c>
      <c r="B19" s="19">
        <v>714658</v>
      </c>
      <c r="C19" s="19">
        <v>773852</v>
      </c>
      <c r="D19" s="19">
        <v>801274</v>
      </c>
      <c r="E19" s="19">
        <v>849165</v>
      </c>
      <c r="F19" s="19">
        <v>902898</v>
      </c>
      <c r="G19" s="19">
        <v>830249</v>
      </c>
      <c r="H19" s="19">
        <v>891983</v>
      </c>
      <c r="I19" s="19">
        <v>943943.77758789063</v>
      </c>
      <c r="J19" s="19">
        <v>996251.11059570313</v>
      </c>
      <c r="K19" s="19">
        <v>1040556.3765869141</v>
      </c>
      <c r="L19" s="19"/>
      <c r="M19" s="19"/>
      <c r="N19" s="19"/>
      <c r="O19" s="19"/>
      <c r="P19" s="19"/>
      <c r="Q19" s="19"/>
      <c r="R19" s="204"/>
    </row>
    <row r="20" spans="1:18">
      <c r="A20" s="185" t="s">
        <v>171</v>
      </c>
      <c r="B20" s="19">
        <v>560399</v>
      </c>
      <c r="C20" s="19">
        <v>599415</v>
      </c>
      <c r="D20" s="19">
        <v>636887</v>
      </c>
      <c r="E20" s="19">
        <v>670319</v>
      </c>
      <c r="F20" s="19">
        <v>712945</v>
      </c>
      <c r="G20" s="19">
        <v>690357</v>
      </c>
      <c r="H20" s="19">
        <v>733816</v>
      </c>
      <c r="I20" s="19">
        <v>766479.6826171875</v>
      </c>
      <c r="J20" s="19">
        <v>802667.4501953125</v>
      </c>
      <c r="K20" s="19">
        <v>841207.521484375</v>
      </c>
      <c r="L20" s="19"/>
      <c r="M20" s="19"/>
      <c r="N20" s="19"/>
      <c r="O20" s="19"/>
      <c r="P20" s="19"/>
      <c r="Q20" s="19"/>
    </row>
    <row r="21" spans="1:18">
      <c r="A21" s="185" t="s">
        <v>169</v>
      </c>
      <c r="B21" s="19">
        <v>68099</v>
      </c>
      <c r="C21" s="19">
        <v>83571</v>
      </c>
      <c r="D21" s="19">
        <v>70189</v>
      </c>
      <c r="E21" s="19">
        <v>74769</v>
      </c>
      <c r="F21" s="19">
        <v>77514</v>
      </c>
      <c r="G21" s="19">
        <v>35399</v>
      </c>
      <c r="H21" s="19">
        <v>45712</v>
      </c>
      <c r="I21" s="19">
        <v>54784.595703125</v>
      </c>
      <c r="J21" s="19">
        <v>66263.5185546875</v>
      </c>
      <c r="K21" s="19">
        <v>67280.8369140625</v>
      </c>
      <c r="L21" s="19"/>
      <c r="M21" s="19"/>
      <c r="N21" s="19"/>
      <c r="O21" s="19"/>
      <c r="P21" s="19"/>
      <c r="Q21" s="19"/>
    </row>
    <row r="22" spans="1:18">
      <c r="A22" s="185" t="s">
        <v>170</v>
      </c>
      <c r="B22" s="19">
        <v>86159</v>
      </c>
      <c r="C22" s="19">
        <v>90866</v>
      </c>
      <c r="D22" s="19">
        <v>94197</v>
      </c>
      <c r="E22" s="19">
        <v>104078</v>
      </c>
      <c r="F22" s="19">
        <v>112439</v>
      </c>
      <c r="G22" s="19">
        <v>104494</v>
      </c>
      <c r="H22" s="19">
        <v>112455</v>
      </c>
      <c r="I22" s="19">
        <v>122679.49926757813</v>
      </c>
      <c r="J22" s="19">
        <v>127320.14184570313</v>
      </c>
      <c r="K22" s="19">
        <v>132068.01818847656</v>
      </c>
      <c r="L22" s="19"/>
      <c r="M22" s="19"/>
      <c r="N22" s="19"/>
      <c r="O22" s="19"/>
      <c r="P22" s="19"/>
      <c r="Q22" s="19"/>
    </row>
    <row r="23" spans="1:18">
      <c r="A23" s="184" t="s">
        <v>99</v>
      </c>
      <c r="B23" s="19">
        <v>65719</v>
      </c>
      <c r="C23" s="19">
        <v>70250</v>
      </c>
      <c r="D23" s="19">
        <v>76883</v>
      </c>
      <c r="E23" s="19">
        <v>88863</v>
      </c>
      <c r="F23" s="19">
        <v>101584</v>
      </c>
      <c r="G23" s="19">
        <v>53114</v>
      </c>
      <c r="H23" s="19">
        <v>81037</v>
      </c>
      <c r="I23" s="19">
        <v>102728.29296875</v>
      </c>
      <c r="J23" s="19">
        <v>137203.9609375</v>
      </c>
      <c r="K23" s="19">
        <v>172507.140625</v>
      </c>
      <c r="L23" s="19"/>
      <c r="M23" s="19"/>
      <c r="N23" s="19"/>
      <c r="O23" s="19"/>
      <c r="P23" s="19"/>
      <c r="Q23" s="19"/>
      <c r="R23" s="204"/>
    </row>
    <row r="24" spans="1:18">
      <c r="A24" s="184" t="s">
        <v>82</v>
      </c>
      <c r="B24" s="19">
        <v>187646</v>
      </c>
      <c r="C24" s="19">
        <v>206755</v>
      </c>
      <c r="D24" s="19">
        <v>223445</v>
      </c>
      <c r="E24" s="19">
        <v>241178</v>
      </c>
      <c r="F24" s="19">
        <v>257959</v>
      </c>
      <c r="G24" s="19">
        <v>273440</v>
      </c>
      <c r="H24" s="19">
        <v>290224</v>
      </c>
      <c r="I24" s="19">
        <v>316436.6640625</v>
      </c>
      <c r="J24" s="19">
        <v>349113.91796875</v>
      </c>
      <c r="K24" s="19">
        <v>373721.28515625</v>
      </c>
      <c r="L24" s="19"/>
      <c r="M24" s="19"/>
      <c r="N24" s="19"/>
      <c r="O24" s="19"/>
      <c r="P24" s="19"/>
      <c r="Q24" s="19"/>
      <c r="R24" s="204"/>
    </row>
    <row r="25" spans="1:18">
      <c r="A25" s="185" t="s">
        <v>90</v>
      </c>
      <c r="B25" s="19">
        <v>118447</v>
      </c>
      <c r="C25" s="19">
        <v>134032</v>
      </c>
      <c r="D25" s="19">
        <v>150030</v>
      </c>
      <c r="E25" s="19">
        <v>163634</v>
      </c>
      <c r="F25" s="19">
        <v>177247</v>
      </c>
      <c r="G25" s="19">
        <v>198753</v>
      </c>
      <c r="H25" s="19">
        <v>210844</v>
      </c>
      <c r="I25" s="19">
        <v>232317.734375</v>
      </c>
      <c r="J25" s="19">
        <v>256827.25</v>
      </c>
      <c r="K25" s="19">
        <v>281107.15625</v>
      </c>
      <c r="L25" s="19"/>
      <c r="M25" s="19"/>
      <c r="N25" s="19"/>
      <c r="O25" s="19"/>
      <c r="P25" s="19"/>
      <c r="Q25" s="19"/>
      <c r="R25" s="204"/>
    </row>
    <row r="26" spans="1:18">
      <c r="A26" s="185" t="s">
        <v>91</v>
      </c>
      <c r="B26" s="19">
        <v>69199</v>
      </c>
      <c r="C26" s="19">
        <v>72723</v>
      </c>
      <c r="D26" s="19">
        <v>73415</v>
      </c>
      <c r="E26" s="19">
        <v>77544</v>
      </c>
      <c r="F26" s="19">
        <v>80712</v>
      </c>
      <c r="G26" s="19">
        <v>74688</v>
      </c>
      <c r="H26" s="19">
        <v>79380</v>
      </c>
      <c r="I26" s="19">
        <v>84118.9296875</v>
      </c>
      <c r="J26" s="19">
        <v>92286.66796875</v>
      </c>
      <c r="K26" s="19">
        <v>92614.12890625</v>
      </c>
      <c r="L26" s="19"/>
      <c r="M26" s="19"/>
      <c r="N26" s="19"/>
      <c r="O26" s="19"/>
      <c r="P26" s="19"/>
      <c r="Q26" s="19"/>
      <c r="R26" s="204"/>
    </row>
    <row r="27" spans="1:18">
      <c r="A27" s="184" t="s">
        <v>92</v>
      </c>
      <c r="B27" s="19">
        <v>568450</v>
      </c>
      <c r="C27" s="19">
        <v>588924</v>
      </c>
      <c r="D27" s="19">
        <v>612981</v>
      </c>
      <c r="E27" s="19">
        <v>629731</v>
      </c>
      <c r="F27" s="19">
        <v>680556</v>
      </c>
      <c r="G27" s="19">
        <v>720435</v>
      </c>
      <c r="H27" s="19">
        <v>802964</v>
      </c>
      <c r="I27" s="19">
        <v>899695.15869140625</v>
      </c>
      <c r="J27" s="19">
        <v>990622.95556640625</v>
      </c>
      <c r="K27" s="19">
        <v>1066024.845703125</v>
      </c>
      <c r="L27" s="19"/>
      <c r="M27" s="19"/>
      <c r="N27" s="19"/>
      <c r="O27" s="19"/>
      <c r="P27" s="19"/>
      <c r="Q27" s="19"/>
      <c r="R27" s="204"/>
    </row>
    <row r="28" spans="1:18">
      <c r="A28" s="185" t="s">
        <v>176</v>
      </c>
      <c r="B28" s="19">
        <v>457726</v>
      </c>
      <c r="C28" s="19">
        <v>474853</v>
      </c>
      <c r="D28" s="19">
        <v>493036</v>
      </c>
      <c r="E28" s="19">
        <v>497023</v>
      </c>
      <c r="F28" s="19">
        <v>535249</v>
      </c>
      <c r="G28" s="19">
        <v>558194</v>
      </c>
      <c r="H28" s="19">
        <v>597093</v>
      </c>
      <c r="I28" s="19">
        <v>664276.33056640625</v>
      </c>
      <c r="J28" s="19">
        <v>726596.33056640625</v>
      </c>
      <c r="K28" s="19">
        <v>758987.095703125</v>
      </c>
      <c r="L28" s="19"/>
      <c r="M28" s="19"/>
      <c r="N28" s="19"/>
      <c r="O28" s="19"/>
      <c r="P28" s="19"/>
      <c r="Q28" s="19"/>
      <c r="R28" s="204"/>
    </row>
    <row r="29" spans="1:18">
      <c r="A29" s="185" t="s">
        <v>177</v>
      </c>
      <c r="B29" s="19">
        <v>110724</v>
      </c>
      <c r="C29" s="19">
        <v>114070</v>
      </c>
      <c r="D29" s="19">
        <v>119945</v>
      </c>
      <c r="E29" s="19">
        <v>132708</v>
      </c>
      <c r="F29" s="19">
        <v>145307</v>
      </c>
      <c r="G29" s="19">
        <v>162241</v>
      </c>
      <c r="H29" s="19">
        <v>205871</v>
      </c>
      <c r="I29" s="19">
        <v>235418.828125</v>
      </c>
      <c r="J29" s="19">
        <v>264026.625</v>
      </c>
      <c r="K29" s="19">
        <v>307037.75</v>
      </c>
      <c r="L29" s="19"/>
      <c r="M29" s="19"/>
      <c r="N29" s="19"/>
      <c r="O29" s="19"/>
      <c r="P29" s="19"/>
      <c r="Q29" s="19"/>
      <c r="R29" s="204"/>
    </row>
    <row r="30" spans="1:18" ht="13.8" customHeight="1">
      <c r="A30" s="184" t="s">
        <v>93</v>
      </c>
      <c r="B30" s="19">
        <v>642901</v>
      </c>
      <c r="C30" s="19">
        <v>705877</v>
      </c>
      <c r="D30" s="19">
        <v>753420</v>
      </c>
      <c r="E30" s="19">
        <v>802728</v>
      </c>
      <c r="F30" s="19">
        <v>856588</v>
      </c>
      <c r="G30" s="19">
        <v>891574</v>
      </c>
      <c r="H30" s="19">
        <v>951093</v>
      </c>
      <c r="I30" s="19">
        <v>993623.25</v>
      </c>
      <c r="J30" s="19">
        <v>1066228.875</v>
      </c>
      <c r="K30" s="19">
        <v>1122524.75</v>
      </c>
      <c r="L30" s="19"/>
      <c r="M30" s="19"/>
      <c r="N30" s="19"/>
      <c r="O30" s="19"/>
      <c r="P30" s="19"/>
      <c r="Q30" s="19"/>
      <c r="R30" s="204"/>
    </row>
    <row r="31" spans="1:18">
      <c r="A31" s="184" t="s">
        <v>94</v>
      </c>
      <c r="B31" s="19">
        <v>142222</v>
      </c>
      <c r="C31" s="19">
        <v>146624</v>
      </c>
      <c r="D31" s="19">
        <v>152058</v>
      </c>
      <c r="E31" s="19">
        <v>160325</v>
      </c>
      <c r="F31" s="19">
        <v>171268</v>
      </c>
      <c r="G31" s="19">
        <v>151534</v>
      </c>
      <c r="H31" s="19">
        <v>163485</v>
      </c>
      <c r="I31" s="19">
        <v>172113.25</v>
      </c>
      <c r="J31" s="19">
        <v>186605.015625</v>
      </c>
      <c r="K31" s="19">
        <v>198393.328125</v>
      </c>
      <c r="L31" s="19"/>
      <c r="M31" s="19"/>
      <c r="N31" s="19"/>
      <c r="O31" s="19"/>
      <c r="P31" s="19"/>
      <c r="Q31" s="19"/>
      <c r="R31" s="204"/>
    </row>
    <row r="32" spans="1:18">
      <c r="A32" s="184" t="s">
        <v>95</v>
      </c>
      <c r="B32" s="19">
        <v>75244</v>
      </c>
      <c r="C32" s="19">
        <v>77825</v>
      </c>
      <c r="D32" s="19">
        <v>79064</v>
      </c>
      <c r="E32" s="19">
        <v>86819</v>
      </c>
      <c r="F32" s="19">
        <v>92729</v>
      </c>
      <c r="G32" s="19">
        <v>76386</v>
      </c>
      <c r="H32" s="19">
        <v>80663</v>
      </c>
      <c r="I32" s="19">
        <v>95214.57421875</v>
      </c>
      <c r="J32" s="19">
        <v>107074.16235351563</v>
      </c>
      <c r="K32" s="19">
        <v>113591.07202148438</v>
      </c>
      <c r="L32" s="19"/>
      <c r="M32" s="19"/>
      <c r="N32" s="19"/>
      <c r="O32" s="19"/>
      <c r="P32" s="19"/>
      <c r="Q32" s="19"/>
      <c r="R32" s="204"/>
    </row>
    <row r="33" spans="1:18">
      <c r="A33" s="184" t="s">
        <v>16</v>
      </c>
      <c r="B33" s="19">
        <v>386981</v>
      </c>
      <c r="C33" s="19">
        <v>410099</v>
      </c>
      <c r="D33" s="19">
        <v>426049</v>
      </c>
      <c r="E33" s="19">
        <v>459667</v>
      </c>
      <c r="F33" s="19">
        <v>498143</v>
      </c>
      <c r="G33" s="19">
        <v>532781</v>
      </c>
      <c r="H33" s="19">
        <v>564957</v>
      </c>
      <c r="I33" s="19">
        <v>593962.25</v>
      </c>
      <c r="J33" s="19">
        <v>623792.875</v>
      </c>
      <c r="K33" s="19">
        <v>675126.875</v>
      </c>
      <c r="L33" s="19"/>
      <c r="M33" s="19"/>
      <c r="N33" s="19"/>
      <c r="O33" s="19"/>
      <c r="P33" s="19"/>
      <c r="Q33" s="19"/>
      <c r="R33" s="204"/>
    </row>
    <row r="34" spans="1:18">
      <c r="A34" s="184" t="s">
        <v>12</v>
      </c>
      <c r="B34" s="19">
        <v>330635</v>
      </c>
      <c r="C34" s="19">
        <v>338011</v>
      </c>
      <c r="D34" s="19">
        <v>367395</v>
      </c>
      <c r="E34" s="19">
        <v>392401</v>
      </c>
      <c r="F34" s="19">
        <v>414661</v>
      </c>
      <c r="G34" s="19">
        <v>376307</v>
      </c>
      <c r="H34" s="19">
        <v>462227</v>
      </c>
      <c r="I34" s="19">
        <v>486124.11083984375</v>
      </c>
      <c r="J34" s="19">
        <v>500151.98974609375</v>
      </c>
      <c r="K34" s="19">
        <v>519857.08740234375</v>
      </c>
      <c r="L34" s="19"/>
      <c r="M34" s="19"/>
      <c r="N34" s="19"/>
      <c r="O34" s="19"/>
      <c r="P34" s="19"/>
      <c r="Q34" s="19"/>
      <c r="R34" s="204"/>
    </row>
    <row r="35" spans="1:18">
      <c r="A35" s="185" t="s">
        <v>172</v>
      </c>
      <c r="B35" s="19">
        <v>154635</v>
      </c>
      <c r="C35" s="19">
        <v>155976</v>
      </c>
      <c r="D35" s="19">
        <v>177217</v>
      </c>
      <c r="E35" s="19">
        <v>193608</v>
      </c>
      <c r="F35" s="19">
        <v>199687</v>
      </c>
      <c r="G35" s="19">
        <v>182828</v>
      </c>
      <c r="H35" s="19">
        <v>223661</v>
      </c>
      <c r="I35" s="19">
        <v>235300.09375</v>
      </c>
      <c r="J35" s="19">
        <v>240147.546875</v>
      </c>
      <c r="K35" s="19">
        <v>243202</v>
      </c>
      <c r="L35" s="19"/>
      <c r="M35" s="19"/>
      <c r="N35" s="19"/>
      <c r="O35" s="19"/>
      <c r="P35" s="19"/>
      <c r="Q35" s="19"/>
    </row>
    <row r="36" spans="1:18">
      <c r="A36" s="185" t="s">
        <v>173</v>
      </c>
      <c r="B36" s="19">
        <v>90614</v>
      </c>
      <c r="C36" s="19">
        <v>93654</v>
      </c>
      <c r="D36" s="19">
        <v>96613</v>
      </c>
      <c r="E36" s="19">
        <v>102370</v>
      </c>
      <c r="F36" s="19">
        <v>110715</v>
      </c>
      <c r="G36" s="19">
        <v>94116</v>
      </c>
      <c r="H36" s="19">
        <v>123744</v>
      </c>
      <c r="I36" s="19">
        <v>130269.7890625</v>
      </c>
      <c r="J36" s="19">
        <v>135339.640625</v>
      </c>
      <c r="K36" s="19">
        <v>146553.84375</v>
      </c>
      <c r="L36" s="19"/>
      <c r="M36" s="19"/>
      <c r="N36" s="19"/>
      <c r="O36" s="19"/>
      <c r="P36" s="19"/>
      <c r="Q36" s="19"/>
    </row>
    <row r="37" spans="1:18">
      <c r="A37" s="185" t="s">
        <v>174</v>
      </c>
      <c r="B37" s="19">
        <v>85386</v>
      </c>
      <c r="C37" s="19">
        <v>88380</v>
      </c>
      <c r="D37" s="19">
        <v>93565</v>
      </c>
      <c r="E37" s="19">
        <v>96423</v>
      </c>
      <c r="F37" s="19">
        <v>104259</v>
      </c>
      <c r="G37" s="19">
        <v>99362</v>
      </c>
      <c r="H37" s="19">
        <v>114821</v>
      </c>
      <c r="I37" s="19">
        <v>120554.22802734375</v>
      </c>
      <c r="J37" s="19">
        <v>124664.80224609375</v>
      </c>
      <c r="K37" s="19">
        <v>130101.24365234375</v>
      </c>
      <c r="L37" s="19"/>
      <c r="M37" s="19"/>
      <c r="N37" s="19"/>
      <c r="O37" s="19"/>
      <c r="P37" s="19"/>
      <c r="Q37" s="19"/>
    </row>
    <row r="38" spans="1:18">
      <c r="A38" s="284" t="s">
        <v>100</v>
      </c>
      <c r="B38" s="19">
        <v>143273</v>
      </c>
      <c r="C38" s="19">
        <v>156846</v>
      </c>
      <c r="D38" s="19">
        <v>166956</v>
      </c>
      <c r="E38" s="19">
        <v>176043</v>
      </c>
      <c r="F38" s="19">
        <v>185702</v>
      </c>
      <c r="G38" s="19">
        <v>196120</v>
      </c>
      <c r="H38" s="19">
        <v>213529</v>
      </c>
      <c r="I38" s="19">
        <v>220761.794921875</v>
      </c>
      <c r="J38" s="19">
        <v>230651.99609375</v>
      </c>
      <c r="K38" s="19">
        <v>245278.13671875</v>
      </c>
      <c r="L38" s="19"/>
      <c r="M38" s="19"/>
      <c r="N38" s="19"/>
      <c r="O38" s="19"/>
      <c r="P38" s="19"/>
      <c r="Q38" s="19"/>
      <c r="R38" s="204"/>
    </row>
    <row r="39" spans="1:18">
      <c r="A39" s="184" t="s">
        <v>96</v>
      </c>
      <c r="B39" s="19">
        <v>15906</v>
      </c>
      <c r="C39" s="19">
        <v>18281</v>
      </c>
      <c r="D39" s="19">
        <v>21292</v>
      </c>
      <c r="E39" s="19">
        <v>22089</v>
      </c>
      <c r="F39" s="19">
        <v>23857</v>
      </c>
      <c r="G39" s="19">
        <v>17112</v>
      </c>
      <c r="H39" s="19">
        <v>19239</v>
      </c>
      <c r="I39" s="19">
        <v>22780.814453125</v>
      </c>
      <c r="J39" s="19">
        <v>26477.755859375</v>
      </c>
      <c r="K39" s="19">
        <v>30454.2734375</v>
      </c>
      <c r="L39" s="19"/>
      <c r="M39" s="19"/>
      <c r="N39" s="19"/>
      <c r="O39" s="19"/>
      <c r="P39" s="19"/>
      <c r="Q39" s="19"/>
      <c r="R39" s="204"/>
    </row>
    <row r="40" spans="1:18">
      <c r="A40" s="184" t="s">
        <v>97</v>
      </c>
      <c r="B40" s="19">
        <v>104331</v>
      </c>
      <c r="C40" s="19">
        <v>109694</v>
      </c>
      <c r="D40" s="19">
        <v>114000</v>
      </c>
      <c r="E40" s="19">
        <v>118593</v>
      </c>
      <c r="F40" s="19">
        <v>124449</v>
      </c>
      <c r="G40" s="19">
        <v>100205</v>
      </c>
      <c r="H40" s="19">
        <v>119100</v>
      </c>
      <c r="I40" s="19">
        <v>127511.5400390625</v>
      </c>
      <c r="J40" s="19">
        <v>132065.69921875</v>
      </c>
      <c r="K40" s="19">
        <v>137499.0986328125</v>
      </c>
      <c r="L40" s="19"/>
      <c r="M40" s="19"/>
      <c r="N40" s="19"/>
      <c r="O40" s="19"/>
      <c r="P40" s="19"/>
      <c r="Q40" s="19"/>
      <c r="R40" s="204"/>
    </row>
    <row r="41" spans="1:18">
      <c r="A41" s="184" t="s">
        <v>98</v>
      </c>
      <c r="B41" s="19">
        <v>54316</v>
      </c>
      <c r="C41" s="19">
        <v>55130</v>
      </c>
      <c r="D41" s="19">
        <v>55957</v>
      </c>
      <c r="E41" s="19">
        <v>56797</v>
      </c>
      <c r="F41" s="19">
        <v>57649</v>
      </c>
      <c r="G41" s="19">
        <v>58513</v>
      </c>
      <c r="H41" s="19">
        <v>59391</v>
      </c>
      <c r="I41" s="19">
        <v>60282.01171875</v>
      </c>
      <c r="J41" s="19">
        <v>61186.2421875</v>
      </c>
      <c r="K41" s="19">
        <v>62104.03515625</v>
      </c>
      <c r="L41" s="19"/>
      <c r="M41" s="19"/>
      <c r="N41" s="19"/>
      <c r="O41" s="19"/>
      <c r="P41" s="19"/>
      <c r="Q41" s="19"/>
      <c r="R41" s="204"/>
    </row>
    <row r="42" spans="1:18">
      <c r="A42" s="184" t="s">
        <v>141</v>
      </c>
      <c r="B42" s="288">
        <v>-260075</v>
      </c>
      <c r="C42" s="288">
        <v>-260609</v>
      </c>
      <c r="D42" s="288">
        <v>-245063</v>
      </c>
      <c r="E42" s="288">
        <v>-254198</v>
      </c>
      <c r="F42" s="288">
        <v>-278418</v>
      </c>
      <c r="G42" s="288">
        <v>-273375</v>
      </c>
      <c r="H42" s="288">
        <v>-287975</v>
      </c>
      <c r="I42" s="288">
        <v>-288670.65625</v>
      </c>
      <c r="J42" s="288">
        <v>-296485.65625</v>
      </c>
      <c r="K42" s="288">
        <v>-323227.03125</v>
      </c>
      <c r="L42" s="19"/>
      <c r="M42" s="19"/>
      <c r="N42" s="19"/>
      <c r="O42" s="19"/>
      <c r="P42" s="19"/>
      <c r="Q42" s="19"/>
      <c r="R42" s="204"/>
    </row>
    <row r="43" spans="1:18" s="273" customFormat="1">
      <c r="A43" s="186" t="s">
        <v>5</v>
      </c>
      <c r="B43" s="107">
        <v>6632625</v>
      </c>
      <c r="C43" s="107">
        <v>6926656</v>
      </c>
      <c r="D43" s="107">
        <v>7180165</v>
      </c>
      <c r="E43" s="107">
        <v>7583875</v>
      </c>
      <c r="F43" s="107">
        <v>7981005</v>
      </c>
      <c r="G43" s="107">
        <v>8019178</v>
      </c>
      <c r="H43" s="107">
        <v>8597270</v>
      </c>
      <c r="I43" s="107">
        <v>9000636.0533676147</v>
      </c>
      <c r="J43" s="107">
        <v>9537312.5654573441</v>
      </c>
      <c r="K43" s="107">
        <v>9990768.8852396011</v>
      </c>
      <c r="L43" s="19"/>
      <c r="M43" s="19"/>
      <c r="N43" s="19"/>
      <c r="O43" s="19"/>
      <c r="P43" s="19"/>
      <c r="Q43" s="19"/>
      <c r="R43" s="309"/>
    </row>
    <row r="44" spans="1:18">
      <c r="A44" s="322" t="s">
        <v>17</v>
      </c>
      <c r="B44" s="311">
        <v>5132042</v>
      </c>
      <c r="C44" s="311">
        <v>5405222</v>
      </c>
      <c r="D44" s="311">
        <v>5678349</v>
      </c>
      <c r="E44" s="311">
        <v>5996091</v>
      </c>
      <c r="F44" s="311">
        <v>6350397</v>
      </c>
      <c r="G44" s="311">
        <v>6313193</v>
      </c>
      <c r="H44" s="311">
        <v>6897311</v>
      </c>
      <c r="I44" s="311">
        <v>7325589</v>
      </c>
      <c r="J44" s="311">
        <v>7752536.3838167191</v>
      </c>
      <c r="K44" s="311">
        <v>8123278.7895364761</v>
      </c>
      <c r="L44" s="19"/>
      <c r="M44" s="19"/>
      <c r="N44" s="19"/>
      <c r="O44" s="361"/>
      <c r="P44" s="361"/>
      <c r="Q44" s="19"/>
      <c r="R44" s="204"/>
    </row>
    <row r="45" spans="1:18">
      <c r="A45" s="369" t="s">
        <v>8</v>
      </c>
      <c r="B45" s="105">
        <v>651890</v>
      </c>
      <c r="C45" s="105">
        <v>667408</v>
      </c>
      <c r="D45" s="105">
        <v>705356</v>
      </c>
      <c r="E45" s="105">
        <v>747016</v>
      </c>
      <c r="F45" s="105">
        <v>775941</v>
      </c>
      <c r="G45" s="105">
        <v>713883</v>
      </c>
      <c r="H45" s="105">
        <v>798672</v>
      </c>
      <c r="I45" s="105">
        <v>851946.8310546875</v>
      </c>
      <c r="J45" s="105">
        <v>878837.36474609375</v>
      </c>
      <c r="K45" s="105">
        <v>917516.998046875</v>
      </c>
      <c r="L45" s="19"/>
      <c r="M45" s="19"/>
      <c r="N45" s="19"/>
      <c r="O45" s="361"/>
      <c r="P45" s="361"/>
      <c r="Q45" s="19"/>
      <c r="R45" s="204"/>
    </row>
    <row r="46" spans="1:18" s="273" customFormat="1">
      <c r="A46" s="188" t="s">
        <v>6</v>
      </c>
      <c r="B46" s="106">
        <v>7284515</v>
      </c>
      <c r="C46" s="106">
        <v>7594064</v>
      </c>
      <c r="D46" s="106">
        <v>7885521</v>
      </c>
      <c r="E46" s="106">
        <v>8330891</v>
      </c>
      <c r="F46" s="106">
        <v>8756946</v>
      </c>
      <c r="G46" s="106">
        <v>8733060</v>
      </c>
      <c r="H46" s="106">
        <v>9395942</v>
      </c>
      <c r="I46" s="106">
        <v>9852582.8844223022</v>
      </c>
      <c r="J46" s="106">
        <v>10416149.930203438</v>
      </c>
      <c r="K46" s="106">
        <v>10908285.883286476</v>
      </c>
      <c r="L46" s="19"/>
      <c r="M46" s="19"/>
      <c r="N46" s="19"/>
      <c r="O46" s="19"/>
      <c r="P46" s="19"/>
      <c r="Q46" s="19"/>
      <c r="R46" s="309"/>
    </row>
    <row r="47" spans="1:18" ht="12.9" customHeight="1">
      <c r="A47" s="363" t="s">
        <v>18</v>
      </c>
      <c r="B47" s="278"/>
      <c r="C47" s="278"/>
      <c r="D47" s="278"/>
      <c r="E47" s="278"/>
      <c r="F47" s="278"/>
      <c r="G47" s="278"/>
      <c r="H47" s="278"/>
      <c r="I47" s="278"/>
      <c r="M47" s="19"/>
    </row>
    <row r="48" spans="1:18" ht="12.9" customHeight="1">
      <c r="A48" s="364" t="s">
        <v>196</v>
      </c>
      <c r="E48" s="34"/>
      <c r="F48" s="34"/>
      <c r="G48" s="34"/>
      <c r="H48" s="34"/>
      <c r="I48" s="34"/>
      <c r="J48" s="34"/>
      <c r="K48" s="34"/>
    </row>
    <row r="49" spans="2:11" ht="12.9" customHeight="1">
      <c r="B49" s="34"/>
      <c r="C49" s="34"/>
      <c r="D49" s="287"/>
      <c r="E49" s="287"/>
      <c r="F49" s="287"/>
      <c r="G49" s="287"/>
      <c r="H49" s="287"/>
      <c r="I49" s="287"/>
      <c r="J49" s="287"/>
      <c r="K49" s="287"/>
    </row>
    <row r="50" spans="2:11">
      <c r="B50" s="34"/>
      <c r="C50" s="34"/>
      <c r="D50" s="34"/>
      <c r="E50" s="34"/>
      <c r="F50" s="34"/>
      <c r="G50" s="34"/>
      <c r="H50" s="34"/>
      <c r="I50" s="34"/>
      <c r="J50" s="287"/>
      <c r="K50" s="287"/>
    </row>
    <row r="51" spans="2:11">
      <c r="B51" s="10"/>
      <c r="C51" s="10"/>
      <c r="D51" s="10"/>
      <c r="E51" s="10"/>
      <c r="F51" s="10"/>
      <c r="G51" s="10"/>
      <c r="H51" s="10"/>
      <c r="I51" s="10"/>
      <c r="J51" s="287"/>
      <c r="K51" s="287"/>
    </row>
    <row r="52" spans="2:11">
      <c r="J52" s="287"/>
      <c r="K52" s="287"/>
    </row>
  </sheetData>
  <pageMargins left="0.74803149606299202" right="0.23622047244094499" top="0.74803149606299202" bottom="0.511811023622047" header="0.23622047244094499" footer="0.23622047244094499"/>
  <pageSetup paperSize="9" scale="43" firstPageNumber="12" orientation="portrait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showGridLines="0" zoomScaleNormal="100" zoomScaleSheetLayoutView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L23" sqref="L23"/>
    </sheetView>
  </sheetViews>
  <sheetFormatPr defaultRowHeight="14.4"/>
  <cols>
    <col min="1" max="1" width="43.44140625" customWidth="1"/>
    <col min="2" max="11" width="7.109375" customWidth="1"/>
  </cols>
  <sheetData>
    <row r="1" spans="1:20">
      <c r="A1" s="79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20" ht="12.75" customHeight="1">
      <c r="A2" s="269" t="s">
        <v>187</v>
      </c>
      <c r="B2" s="95"/>
      <c r="C2" s="95"/>
      <c r="D2" s="82"/>
      <c r="E2" s="82"/>
      <c r="F2" s="82"/>
      <c r="G2" s="82"/>
      <c r="H2" s="82"/>
      <c r="I2" s="82"/>
      <c r="J2" s="82"/>
      <c r="K2" s="82"/>
    </row>
    <row r="3" spans="1:20" ht="12.75" customHeight="1">
      <c r="A3" s="82"/>
      <c r="B3" s="82"/>
      <c r="C3" s="82"/>
      <c r="D3" s="82"/>
      <c r="E3" s="82"/>
      <c r="F3" s="82"/>
      <c r="G3" s="82"/>
      <c r="H3" s="84"/>
      <c r="I3" s="84"/>
      <c r="K3" s="370" t="s">
        <v>131</v>
      </c>
    </row>
    <row r="4" spans="1:20" ht="11.85" customHeight="1">
      <c r="A4" s="280" t="s">
        <v>0</v>
      </c>
      <c r="B4" s="104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179</v>
      </c>
      <c r="J4" s="104" t="s">
        <v>181</v>
      </c>
      <c r="K4" s="104" t="s">
        <v>182</v>
      </c>
    </row>
    <row r="5" spans="1:20" ht="12.75" customHeight="1">
      <c r="A5" s="184" t="s">
        <v>83</v>
      </c>
      <c r="B5" s="24">
        <v>4.4000000000000004</v>
      </c>
      <c r="C5" s="24">
        <v>1.4</v>
      </c>
      <c r="D5" s="24">
        <v>-1.3</v>
      </c>
      <c r="E5" s="24">
        <v>5.7</v>
      </c>
      <c r="F5" s="24">
        <v>2.7</v>
      </c>
      <c r="G5" s="24">
        <v>4.5999999999999996</v>
      </c>
      <c r="H5" s="24">
        <v>-0.4</v>
      </c>
      <c r="I5" s="24">
        <v>-1.4654545501964766</v>
      </c>
      <c r="J5" s="24">
        <v>6.5508266410382765</v>
      </c>
      <c r="K5" s="24">
        <v>4.6344138224921005</v>
      </c>
      <c r="L5" s="2"/>
      <c r="M5" s="2"/>
      <c r="N5" s="2"/>
      <c r="O5" s="2"/>
      <c r="P5" s="2"/>
      <c r="Q5" s="2"/>
      <c r="R5" s="2"/>
      <c r="S5" s="2"/>
      <c r="T5" s="2"/>
    </row>
    <row r="6" spans="1:20" ht="12.75" customHeight="1">
      <c r="A6" s="185" t="s">
        <v>84</v>
      </c>
      <c r="B6" s="24">
        <v>3.6</v>
      </c>
      <c r="C6" s="24">
        <v>0</v>
      </c>
      <c r="D6" s="24">
        <v>-1</v>
      </c>
      <c r="E6" s="24">
        <v>6.4</v>
      </c>
      <c r="F6" s="24">
        <v>3</v>
      </c>
      <c r="G6" s="24">
        <v>5.7</v>
      </c>
      <c r="H6" s="24">
        <v>-1.4</v>
      </c>
      <c r="I6" s="24">
        <v>-2.6970377552686831</v>
      </c>
      <c r="J6" s="24">
        <v>6.458578461983433</v>
      </c>
      <c r="K6" s="24">
        <v>2.7162510682129604</v>
      </c>
      <c r="L6" s="2"/>
      <c r="M6" s="2"/>
      <c r="N6" s="2"/>
      <c r="O6" s="2"/>
      <c r="P6" s="2"/>
      <c r="Q6" s="2"/>
      <c r="R6" s="2"/>
      <c r="S6" s="2"/>
      <c r="T6" s="2"/>
    </row>
    <row r="7" spans="1:20" ht="12.75" customHeight="1">
      <c r="A7" s="185" t="s">
        <v>85</v>
      </c>
      <c r="B7" s="24">
        <v>15</v>
      </c>
      <c r="C7" s="24">
        <v>6.8</v>
      </c>
      <c r="D7" s="24">
        <v>-6.9</v>
      </c>
      <c r="E7" s="24">
        <v>4.5999999999999996</v>
      </c>
      <c r="F7" s="24">
        <v>1.9</v>
      </c>
      <c r="G7" s="24">
        <v>3.3</v>
      </c>
      <c r="H7" s="24">
        <v>4</v>
      </c>
      <c r="I7" s="24">
        <v>-1.0251356879993456</v>
      </c>
      <c r="J7" s="24">
        <v>9.6726035736702354</v>
      </c>
      <c r="K7" s="24">
        <v>9.4042968209380859</v>
      </c>
      <c r="L7" s="2"/>
      <c r="M7" s="2"/>
      <c r="N7" s="2"/>
      <c r="O7" s="2"/>
      <c r="P7" s="2"/>
      <c r="Q7" s="2"/>
      <c r="R7" s="2"/>
      <c r="S7" s="2"/>
      <c r="T7" s="2"/>
    </row>
    <row r="8" spans="1:20" ht="12.75" customHeight="1">
      <c r="A8" s="185" t="s">
        <v>86</v>
      </c>
      <c r="B8" s="24">
        <v>12.3</v>
      </c>
      <c r="C8" s="24">
        <v>-7.2</v>
      </c>
      <c r="D8" s="24">
        <v>12.8</v>
      </c>
      <c r="E8" s="24">
        <v>13.4</v>
      </c>
      <c r="F8" s="24">
        <v>5.5</v>
      </c>
      <c r="G8" s="24">
        <v>2.8</v>
      </c>
      <c r="H8" s="24">
        <v>1.9</v>
      </c>
      <c r="I8" s="24">
        <v>-1.7650527956073248</v>
      </c>
      <c r="J8" s="24">
        <v>1.0404639631138579</v>
      </c>
      <c r="K8" s="24">
        <v>18.412660937648482</v>
      </c>
      <c r="L8" s="2"/>
      <c r="M8" s="2"/>
      <c r="N8" s="2"/>
      <c r="O8" s="2"/>
      <c r="P8" s="2"/>
      <c r="Q8" s="2"/>
      <c r="R8" s="2"/>
      <c r="S8" s="2"/>
      <c r="T8" s="2"/>
    </row>
    <row r="9" spans="1:20" ht="12.75" customHeight="1">
      <c r="A9" s="185" t="s">
        <v>87</v>
      </c>
      <c r="B9" s="24">
        <v>-1.9</v>
      </c>
      <c r="C9" s="24">
        <v>6.9</v>
      </c>
      <c r="D9" s="24">
        <v>3.3</v>
      </c>
      <c r="E9" s="24">
        <v>-1</v>
      </c>
      <c r="F9" s="24">
        <v>0.1</v>
      </c>
      <c r="G9" s="24">
        <v>-2</v>
      </c>
      <c r="H9" s="24">
        <v>-3.1</v>
      </c>
      <c r="I9" s="24">
        <v>8.8359657731810195</v>
      </c>
      <c r="J9" s="24">
        <v>3.3876798575200429</v>
      </c>
      <c r="K9" s="24">
        <v>5.8025758634893787</v>
      </c>
      <c r="L9" s="2"/>
      <c r="M9" s="2"/>
      <c r="N9" s="2"/>
      <c r="O9" s="2"/>
      <c r="P9" s="2"/>
      <c r="Q9" s="2"/>
      <c r="R9" s="2"/>
      <c r="S9" s="2"/>
      <c r="T9" s="2"/>
    </row>
    <row r="10" spans="1:20" ht="12.75" customHeight="1">
      <c r="A10" s="185" t="s">
        <v>88</v>
      </c>
      <c r="B10" s="24">
        <v>-26</v>
      </c>
      <c r="C10" s="24">
        <v>-9.9</v>
      </c>
      <c r="D10" s="24">
        <v>24.1</v>
      </c>
      <c r="E10" s="24">
        <v>9.5</v>
      </c>
      <c r="F10" s="24">
        <v>4.2</v>
      </c>
      <c r="G10" s="24">
        <v>0.8</v>
      </c>
      <c r="H10" s="24">
        <v>3.7</v>
      </c>
      <c r="I10" s="24">
        <v>7.5626237553021669</v>
      </c>
      <c r="J10" s="24">
        <v>-2.900643833858163</v>
      </c>
      <c r="K10" s="24">
        <v>10.328774029020128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ht="12.75" customHeight="1">
      <c r="A11" s="184" t="s">
        <v>1</v>
      </c>
      <c r="B11" s="24">
        <v>-15.8</v>
      </c>
      <c r="C11" s="24">
        <v>-9.1</v>
      </c>
      <c r="D11" s="24">
        <v>3.2</v>
      </c>
      <c r="E11" s="24">
        <v>-4.7</v>
      </c>
      <c r="F11" s="24">
        <v>4.3</v>
      </c>
      <c r="G11" s="24">
        <v>5.5</v>
      </c>
      <c r="H11" s="24">
        <v>18</v>
      </c>
      <c r="I11" s="24">
        <v>9.2595508661591275</v>
      </c>
      <c r="J11" s="24">
        <v>-6.5050892815113448</v>
      </c>
      <c r="K11" s="24">
        <v>-9.173871737726957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 ht="12.75" customHeight="1">
      <c r="A12" s="184" t="s">
        <v>2</v>
      </c>
      <c r="B12" s="24">
        <v>5.9</v>
      </c>
      <c r="C12" s="24">
        <v>1.9</v>
      </c>
      <c r="D12" s="24">
        <v>0.7</v>
      </c>
      <c r="E12" s="24">
        <v>3.6</v>
      </c>
      <c r="F12" s="24">
        <v>2.6</v>
      </c>
      <c r="G12" s="24">
        <v>-0.3</v>
      </c>
      <c r="H12" s="24">
        <v>7.3</v>
      </c>
      <c r="I12" s="24">
        <v>2.5990098591974542</v>
      </c>
      <c r="J12" s="24">
        <v>2.1518167886950934</v>
      </c>
      <c r="K12" s="24">
        <v>2.827729702394044</v>
      </c>
      <c r="L12" s="2"/>
      <c r="M12" s="2"/>
      <c r="N12" s="2"/>
      <c r="O12" s="2"/>
      <c r="P12" s="2"/>
      <c r="Q12" s="2"/>
      <c r="R12" s="2"/>
      <c r="S12" s="2"/>
      <c r="T12" s="2"/>
    </row>
    <row r="13" spans="1:20" ht="12.75" customHeight="1">
      <c r="A13" s="185" t="s">
        <v>10</v>
      </c>
      <c r="B13" s="24">
        <v>6.5</v>
      </c>
      <c r="C13" s="24">
        <v>2.2000000000000002</v>
      </c>
      <c r="D13" s="24">
        <v>1.5</v>
      </c>
      <c r="E13" s="24">
        <v>5.5</v>
      </c>
      <c r="F13" s="24">
        <v>2.9</v>
      </c>
      <c r="G13" s="24">
        <v>-1.4</v>
      </c>
      <c r="H13" s="24">
        <v>4.5999999999999996</v>
      </c>
      <c r="I13" s="24">
        <v>0.75998762690969723</v>
      </c>
      <c r="J13" s="24">
        <v>1.4543420417013619</v>
      </c>
      <c r="K13" s="24">
        <v>4.6054696762931835</v>
      </c>
      <c r="L13" s="2"/>
      <c r="M13" s="2"/>
      <c r="N13" s="2"/>
      <c r="O13" s="2"/>
      <c r="P13" s="2"/>
      <c r="Q13" s="2"/>
      <c r="R13" s="2"/>
      <c r="S13" s="2"/>
      <c r="T13" s="2"/>
    </row>
    <row r="14" spans="1:20" ht="12.75" customHeight="1">
      <c r="A14" s="185" t="s">
        <v>11</v>
      </c>
      <c r="B14" s="24">
        <v>5.0999999999999996</v>
      </c>
      <c r="C14" s="24">
        <v>1.5</v>
      </c>
      <c r="D14" s="24">
        <v>-0.3</v>
      </c>
      <c r="E14" s="24">
        <v>1.2</v>
      </c>
      <c r="F14" s="24">
        <v>2.2999999999999998</v>
      </c>
      <c r="G14" s="24">
        <v>1.2</v>
      </c>
      <c r="H14" s="24">
        <v>10.7</v>
      </c>
      <c r="I14" s="24">
        <v>4.8173716624755558</v>
      </c>
      <c r="J14" s="24">
        <v>2.9605936677402633</v>
      </c>
      <c r="K14" s="24">
        <v>0.79645772141705429</v>
      </c>
      <c r="L14" s="2"/>
      <c r="M14" s="2"/>
      <c r="N14" s="2"/>
      <c r="O14" s="2"/>
      <c r="P14" s="2"/>
      <c r="Q14" s="2"/>
      <c r="R14" s="2"/>
      <c r="S14" s="2"/>
      <c r="T14" s="2"/>
    </row>
    <row r="15" spans="1:20" ht="12.75" customHeight="1">
      <c r="A15" s="184" t="s">
        <v>15</v>
      </c>
      <c r="B15" s="24">
        <v>2.2999999999999998</v>
      </c>
      <c r="C15" s="24">
        <v>4.0999999999999996</v>
      </c>
      <c r="D15" s="24">
        <v>5.6</v>
      </c>
      <c r="E15" s="24">
        <v>4</v>
      </c>
      <c r="F15" s="24">
        <v>1.9</v>
      </c>
      <c r="G15" s="24">
        <v>-0.5</v>
      </c>
      <c r="H15" s="24">
        <v>5.3</v>
      </c>
      <c r="I15" s="24">
        <v>5.7292257546383007</v>
      </c>
      <c r="J15" s="24">
        <v>3.0801674572525473</v>
      </c>
      <c r="K15" s="24">
        <v>1.9294684391900185</v>
      </c>
      <c r="L15" s="2"/>
      <c r="M15" s="2"/>
      <c r="N15" s="2"/>
      <c r="O15" s="2"/>
      <c r="P15" s="2"/>
      <c r="Q15" s="2"/>
      <c r="R15" s="2"/>
      <c r="S15" s="2"/>
      <c r="T15" s="2"/>
    </row>
    <row r="16" spans="1:20" ht="12.75" customHeight="1">
      <c r="A16" s="184" t="s">
        <v>89</v>
      </c>
      <c r="B16" s="24">
        <v>2.1</v>
      </c>
      <c r="C16" s="24">
        <v>2.8</v>
      </c>
      <c r="D16" s="24">
        <v>-3.2</v>
      </c>
      <c r="E16" s="24">
        <v>2.5</v>
      </c>
      <c r="F16" s="24">
        <v>1.3</v>
      </c>
      <c r="G16" s="24">
        <v>3.6</v>
      </c>
      <c r="H16" s="24">
        <v>6.3</v>
      </c>
      <c r="I16" s="24">
        <v>4.9766657492795296</v>
      </c>
      <c r="J16" s="24">
        <v>3.4039584452448812</v>
      </c>
      <c r="K16" s="24">
        <v>1.9119318469454027</v>
      </c>
      <c r="L16" s="2"/>
      <c r="M16" s="2"/>
      <c r="N16" s="2"/>
      <c r="O16" s="2"/>
      <c r="P16" s="2"/>
      <c r="Q16" s="2"/>
      <c r="R16" s="2"/>
      <c r="S16" s="2"/>
      <c r="T16" s="2"/>
    </row>
    <row r="17" spans="1:20" ht="12.75" customHeight="1">
      <c r="A17" s="184" t="s">
        <v>3</v>
      </c>
      <c r="B17" s="24">
        <v>7.8</v>
      </c>
      <c r="C17" s="24">
        <v>5.8</v>
      </c>
      <c r="D17" s="24">
        <v>6.3</v>
      </c>
      <c r="E17" s="24">
        <v>6.1</v>
      </c>
      <c r="F17" s="24">
        <v>7.2</v>
      </c>
      <c r="G17" s="24">
        <v>10.1</v>
      </c>
      <c r="H17" s="24">
        <v>6.7</v>
      </c>
      <c r="I17" s="24">
        <v>4.061531218220793</v>
      </c>
      <c r="J17" s="24">
        <v>2.986971063093069</v>
      </c>
      <c r="K17" s="24">
        <v>-0.71587422313672544</v>
      </c>
      <c r="L17" s="2"/>
      <c r="M17" s="2"/>
      <c r="N17" s="2"/>
      <c r="O17" s="2"/>
      <c r="P17" s="2"/>
      <c r="Q17" s="2"/>
      <c r="R17" s="2"/>
      <c r="S17" s="2"/>
      <c r="T17" s="2"/>
    </row>
    <row r="18" spans="1:20" ht="12.75" customHeight="1">
      <c r="A18" s="184" t="s">
        <v>4</v>
      </c>
      <c r="B18" s="24">
        <v>4.3</v>
      </c>
      <c r="C18" s="24">
        <v>2.2999999999999998</v>
      </c>
      <c r="D18" s="24">
        <v>4.3</v>
      </c>
      <c r="E18" s="24">
        <v>5.9</v>
      </c>
      <c r="F18" s="24">
        <v>5.3</v>
      </c>
      <c r="G18" s="24">
        <v>-0.4</v>
      </c>
      <c r="H18" s="24">
        <v>8</v>
      </c>
      <c r="I18" s="24">
        <v>3.5303790454582762</v>
      </c>
      <c r="J18" s="24">
        <v>3.3244372433475</v>
      </c>
      <c r="K18" s="24">
        <v>3.8475185938785073</v>
      </c>
      <c r="L18" s="2"/>
      <c r="M18" s="2"/>
      <c r="N18" s="2"/>
      <c r="O18" s="2"/>
      <c r="P18" s="2"/>
      <c r="Q18" s="2"/>
      <c r="R18" s="2"/>
      <c r="S18" s="2"/>
      <c r="T18" s="2"/>
    </row>
    <row r="19" spans="1:20" ht="12.75" customHeight="1">
      <c r="A19" s="184" t="s">
        <v>9</v>
      </c>
      <c r="B19" s="24">
        <v>6.1</v>
      </c>
      <c r="C19" s="24">
        <v>8.3000000000000007</v>
      </c>
      <c r="D19" s="24">
        <v>3.5</v>
      </c>
      <c r="E19" s="24">
        <v>6</v>
      </c>
      <c r="F19" s="24">
        <v>6.3</v>
      </c>
      <c r="G19" s="24">
        <v>-8</v>
      </c>
      <c r="H19" s="24">
        <v>7.4</v>
      </c>
      <c r="I19" s="24">
        <v>5.8252958227809959</v>
      </c>
      <c r="J19" s="24">
        <v>5.5413610693505699</v>
      </c>
      <c r="K19" s="24">
        <v>4.4471986550377762</v>
      </c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85" t="s">
        <v>160</v>
      </c>
      <c r="B20" s="287">
        <v>7.7</v>
      </c>
      <c r="C20" s="287">
        <v>7</v>
      </c>
      <c r="D20" s="287">
        <v>6.3</v>
      </c>
      <c r="E20" s="287">
        <v>5.2</v>
      </c>
      <c r="F20" s="287">
        <v>6.4</v>
      </c>
      <c r="G20" s="287">
        <v>-3.2</v>
      </c>
      <c r="H20" s="287">
        <v>6.3</v>
      </c>
      <c r="I20" s="287">
        <v>4.451150382963931</v>
      </c>
      <c r="J20" s="287">
        <v>4.7212950843732449</v>
      </c>
      <c r="K20" s="287">
        <v>4.8014992111221844</v>
      </c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85" t="s">
        <v>161</v>
      </c>
      <c r="B21" s="287">
        <v>-4.9000000000000004</v>
      </c>
      <c r="C21" s="287">
        <v>22.7</v>
      </c>
      <c r="D21" s="287">
        <v>-16</v>
      </c>
      <c r="E21" s="287">
        <v>6.5</v>
      </c>
      <c r="F21" s="287">
        <v>3.7</v>
      </c>
      <c r="G21" s="287">
        <v>-54.3</v>
      </c>
      <c r="H21" s="287">
        <v>29.1</v>
      </c>
      <c r="I21" s="287">
        <v>19.848585891852654</v>
      </c>
      <c r="J21" s="287">
        <v>20.952829356934942</v>
      </c>
      <c r="K21" s="287">
        <v>1.5352616063323055</v>
      </c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85" t="s">
        <v>162</v>
      </c>
      <c r="B22" s="287">
        <v>5.5</v>
      </c>
      <c r="C22" s="287">
        <v>5.5</v>
      </c>
      <c r="D22" s="287">
        <v>3.7</v>
      </c>
      <c r="E22" s="287">
        <v>10.5</v>
      </c>
      <c r="F22" s="287">
        <v>8</v>
      </c>
      <c r="G22" s="287">
        <v>-7.1</v>
      </c>
      <c r="H22" s="287">
        <v>7.6</v>
      </c>
      <c r="I22" s="287">
        <v>9.0918831313036463</v>
      </c>
      <c r="J22" s="287">
        <v>3.7827368108205528</v>
      </c>
      <c r="K22" s="287">
        <v>3.7290850245260465</v>
      </c>
      <c r="L22" s="2"/>
      <c r="M22" s="2"/>
      <c r="N22" s="2"/>
      <c r="O22" s="2"/>
      <c r="P22" s="2"/>
      <c r="Q22" s="2"/>
      <c r="R22" s="2"/>
      <c r="S22" s="2"/>
      <c r="T22" s="2"/>
    </row>
    <row r="23" spans="1:20" ht="12.75" customHeight="1">
      <c r="A23" s="184" t="s">
        <v>99</v>
      </c>
      <c r="B23" s="24">
        <v>5.4</v>
      </c>
      <c r="C23" s="24">
        <v>6.9</v>
      </c>
      <c r="D23" s="24">
        <v>9.4</v>
      </c>
      <c r="E23" s="24">
        <v>15.6</v>
      </c>
      <c r="F23" s="24">
        <v>14.3</v>
      </c>
      <c r="G23" s="24">
        <v>-47.7</v>
      </c>
      <c r="H23" s="24">
        <v>52.6</v>
      </c>
      <c r="I23" s="24">
        <v>26.767880342546135</v>
      </c>
      <c r="J23" s="24">
        <v>33.560051444870709</v>
      </c>
      <c r="K23" s="24">
        <v>25.730437697481289</v>
      </c>
      <c r="L23" s="2"/>
      <c r="M23" s="2"/>
      <c r="N23" s="2"/>
      <c r="O23" s="2"/>
      <c r="P23" s="2"/>
      <c r="Q23" s="2"/>
      <c r="R23" s="2"/>
      <c r="S23" s="2"/>
      <c r="T23" s="2"/>
    </row>
    <row r="24" spans="1:20" ht="12.75" customHeight="1">
      <c r="A24" s="184" t="s">
        <v>82</v>
      </c>
      <c r="B24" s="24">
        <v>11.3</v>
      </c>
      <c r="C24" s="24">
        <v>10.199999999999999</v>
      </c>
      <c r="D24" s="24">
        <v>8.1</v>
      </c>
      <c r="E24" s="24">
        <v>7.9</v>
      </c>
      <c r="F24" s="24">
        <v>7</v>
      </c>
      <c r="G24" s="24">
        <v>6</v>
      </c>
      <c r="H24" s="24">
        <v>6.1</v>
      </c>
      <c r="I24" s="24">
        <v>9.0316928301203081</v>
      </c>
      <c r="J24" s="24">
        <v>10.326633294236686</v>
      </c>
      <c r="K24" s="24">
        <v>7.0485208182684556</v>
      </c>
      <c r="L24" s="2"/>
      <c r="M24" s="2"/>
      <c r="N24" s="2"/>
      <c r="O24" s="2"/>
      <c r="P24" s="2"/>
      <c r="Q24" s="2"/>
      <c r="R24" s="2"/>
      <c r="S24" s="2"/>
      <c r="T24" s="2"/>
    </row>
    <row r="25" spans="1:20" ht="12.75" customHeight="1">
      <c r="A25" s="185" t="s">
        <v>90</v>
      </c>
      <c r="B25" s="24">
        <v>14.1</v>
      </c>
      <c r="C25" s="24">
        <v>13.2</v>
      </c>
      <c r="D25" s="24">
        <v>11.9</v>
      </c>
      <c r="E25" s="24">
        <v>9.1</v>
      </c>
      <c r="F25" s="24">
        <v>8.3000000000000007</v>
      </c>
      <c r="G25" s="24">
        <v>12.1</v>
      </c>
      <c r="H25" s="24">
        <v>6.1</v>
      </c>
      <c r="I25" s="24">
        <v>10.184647018008054</v>
      </c>
      <c r="J25" s="24">
        <v>10.549997696446844</v>
      </c>
      <c r="K25" s="24">
        <v>9.4537889768317118</v>
      </c>
      <c r="L25" s="2"/>
      <c r="M25" s="2"/>
      <c r="N25" s="2"/>
      <c r="O25" s="2"/>
      <c r="P25" s="2"/>
      <c r="Q25" s="2"/>
      <c r="R25" s="2"/>
      <c r="S25" s="2"/>
      <c r="T25" s="2"/>
    </row>
    <row r="26" spans="1:20" ht="12.75" customHeight="1">
      <c r="A26" s="185" t="s">
        <v>91</v>
      </c>
      <c r="B26" s="24">
        <v>6.7</v>
      </c>
      <c r="C26" s="24">
        <v>5.0999999999999996</v>
      </c>
      <c r="D26" s="24">
        <v>1</v>
      </c>
      <c r="E26" s="24">
        <v>5.6</v>
      </c>
      <c r="F26" s="24">
        <v>4.0999999999999996</v>
      </c>
      <c r="G26" s="24">
        <v>-7.5</v>
      </c>
      <c r="H26" s="24">
        <v>6.3</v>
      </c>
      <c r="I26" s="24">
        <v>5.9693085106985011</v>
      </c>
      <c r="J26" s="24">
        <v>9.7097506014317769</v>
      </c>
      <c r="K26" s="24">
        <v>0.35483016637991582</v>
      </c>
      <c r="L26" s="2"/>
      <c r="M26" s="2"/>
      <c r="N26" s="2"/>
      <c r="O26" s="2"/>
      <c r="P26" s="2"/>
      <c r="Q26" s="2"/>
      <c r="R26" s="2"/>
      <c r="S26" s="2"/>
      <c r="T26" s="2"/>
    </row>
    <row r="27" spans="1:20" ht="12.75" customHeight="1">
      <c r="A27" s="184" t="s">
        <v>92</v>
      </c>
      <c r="B27" s="24">
        <v>11.8</v>
      </c>
      <c r="C27" s="24">
        <v>3.6</v>
      </c>
      <c r="D27" s="24">
        <v>4.0999999999999996</v>
      </c>
      <c r="E27" s="24">
        <v>2.7</v>
      </c>
      <c r="F27" s="24">
        <v>8.1</v>
      </c>
      <c r="G27" s="24">
        <v>5.9</v>
      </c>
      <c r="H27" s="24">
        <v>11.5</v>
      </c>
      <c r="I27" s="24">
        <v>12.04681098299476</v>
      </c>
      <c r="J27" s="24">
        <v>10.106511744183798</v>
      </c>
      <c r="K27" s="24">
        <v>7.6115629779249794</v>
      </c>
      <c r="L27" s="2"/>
      <c r="M27" s="2"/>
      <c r="N27" s="2"/>
      <c r="O27" s="2"/>
      <c r="P27" s="2"/>
      <c r="Q27" s="2"/>
      <c r="R27" s="2"/>
      <c r="S27" s="2"/>
      <c r="T27" s="2"/>
    </row>
    <row r="28" spans="1:20" ht="12.75" customHeight="1">
      <c r="A28" s="185" t="s">
        <v>176</v>
      </c>
      <c r="B28" s="24">
        <v>15.8</v>
      </c>
      <c r="C28" s="24">
        <v>3.7</v>
      </c>
      <c r="D28" s="24">
        <v>3.8</v>
      </c>
      <c r="E28" s="24">
        <v>0.8</v>
      </c>
      <c r="F28" s="24">
        <v>7.7</v>
      </c>
      <c r="G28" s="24">
        <v>4.3</v>
      </c>
      <c r="H28" s="24">
        <v>7</v>
      </c>
      <c r="I28" s="24">
        <v>11.251799471611367</v>
      </c>
      <c r="J28" s="24">
        <v>9.381637901633777</v>
      </c>
      <c r="K28" s="24">
        <v>4.4578762339013034</v>
      </c>
      <c r="L28" s="2"/>
      <c r="M28" s="2"/>
      <c r="N28" s="2"/>
      <c r="O28" s="2"/>
      <c r="P28" s="2"/>
      <c r="Q28" s="2"/>
      <c r="R28" s="2"/>
      <c r="S28" s="2"/>
      <c r="T28" s="2"/>
    </row>
    <row r="29" spans="1:20" ht="12.75" customHeight="1">
      <c r="A29" s="185" t="s">
        <v>177</v>
      </c>
      <c r="B29" s="24">
        <v>-2.4</v>
      </c>
      <c r="C29" s="24">
        <v>3</v>
      </c>
      <c r="D29" s="24">
        <v>5.2</v>
      </c>
      <c r="E29" s="24">
        <v>10.6</v>
      </c>
      <c r="F29" s="24">
        <v>9.5</v>
      </c>
      <c r="G29" s="24">
        <v>11.7</v>
      </c>
      <c r="H29" s="24">
        <v>26.9</v>
      </c>
      <c r="I29" s="24">
        <v>14.352602354189825</v>
      </c>
      <c r="J29" s="24">
        <v>12.151872941874542</v>
      </c>
      <c r="K29" s="24">
        <v>16.290449874136748</v>
      </c>
      <c r="L29" s="2"/>
      <c r="M29" s="2"/>
      <c r="N29" s="2"/>
      <c r="O29" s="2"/>
      <c r="P29" s="2"/>
      <c r="Q29" s="2"/>
      <c r="R29" s="2"/>
      <c r="S29" s="2"/>
      <c r="T29" s="2"/>
    </row>
    <row r="30" spans="1:20" ht="12.75" customHeight="1">
      <c r="A30" s="184" t="s">
        <v>93</v>
      </c>
      <c r="B30" s="24">
        <v>5.5</v>
      </c>
      <c r="C30" s="24">
        <v>9.8000000000000007</v>
      </c>
      <c r="D30" s="24">
        <v>6.7</v>
      </c>
      <c r="E30" s="24">
        <v>6.5</v>
      </c>
      <c r="F30" s="24">
        <v>6.7</v>
      </c>
      <c r="G30" s="24">
        <v>4.0999999999999996</v>
      </c>
      <c r="H30" s="24">
        <v>6.7</v>
      </c>
      <c r="I30" s="24">
        <v>4.4717235853906967</v>
      </c>
      <c r="J30" s="24">
        <v>7.3071584224704944</v>
      </c>
      <c r="K30" s="24">
        <v>5.2799053111368899</v>
      </c>
      <c r="L30" s="2"/>
      <c r="M30" s="2"/>
      <c r="N30" s="2"/>
      <c r="O30" s="2"/>
      <c r="P30" s="2"/>
      <c r="Q30" s="2"/>
      <c r="R30" s="2"/>
      <c r="S30" s="2"/>
      <c r="T30" s="2"/>
    </row>
    <row r="31" spans="1:20" ht="12.75" customHeight="1">
      <c r="A31" s="184" t="s">
        <v>94</v>
      </c>
      <c r="B31" s="24">
        <v>3.6</v>
      </c>
      <c r="C31" s="24">
        <v>3.1</v>
      </c>
      <c r="D31" s="24">
        <v>3.7</v>
      </c>
      <c r="E31" s="24">
        <v>5.4</v>
      </c>
      <c r="F31" s="24">
        <v>6.8</v>
      </c>
      <c r="G31" s="24">
        <v>-11.5</v>
      </c>
      <c r="H31" s="24">
        <v>7.9</v>
      </c>
      <c r="I31" s="24">
        <v>5.2778019369150275</v>
      </c>
      <c r="J31" s="24">
        <v>8.419901213299962</v>
      </c>
      <c r="K31" s="24">
        <v>6.317253831852887</v>
      </c>
      <c r="L31" s="2"/>
      <c r="M31" s="2"/>
      <c r="N31" s="2"/>
      <c r="O31" s="2"/>
      <c r="P31" s="2"/>
      <c r="Q31" s="2"/>
      <c r="R31" s="2"/>
      <c r="S31" s="2"/>
      <c r="T31" s="2"/>
    </row>
    <row r="32" spans="1:20" ht="12.75" customHeight="1">
      <c r="A32" s="184" t="s">
        <v>95</v>
      </c>
      <c r="B32" s="24">
        <v>1</v>
      </c>
      <c r="C32" s="24">
        <v>3.4</v>
      </c>
      <c r="D32" s="24">
        <v>1.6</v>
      </c>
      <c r="E32" s="24">
        <v>9.8000000000000007</v>
      </c>
      <c r="F32" s="24">
        <v>6.8</v>
      </c>
      <c r="G32" s="24">
        <v>-17.600000000000001</v>
      </c>
      <c r="H32" s="24">
        <v>5.6</v>
      </c>
      <c r="I32" s="24">
        <v>18.039603967048713</v>
      </c>
      <c r="J32" s="24">
        <v>12.455643720591446</v>
      </c>
      <c r="K32" s="24">
        <v>6.0863512958920341</v>
      </c>
      <c r="L32" s="2"/>
      <c r="M32" s="2"/>
      <c r="N32" s="2"/>
      <c r="O32" s="2"/>
      <c r="P32" s="2"/>
      <c r="Q32" s="2"/>
      <c r="R32" s="2"/>
      <c r="S32" s="2"/>
      <c r="T32" s="2"/>
    </row>
    <row r="33" spans="1:20" ht="12.75" customHeight="1">
      <c r="A33" s="184" t="s">
        <v>16</v>
      </c>
      <c r="B33" s="24">
        <v>12.5</v>
      </c>
      <c r="C33" s="24">
        <v>6</v>
      </c>
      <c r="D33" s="24">
        <v>3.9</v>
      </c>
      <c r="E33" s="24">
        <v>7.9</v>
      </c>
      <c r="F33" s="24">
        <v>8.4</v>
      </c>
      <c r="G33" s="24">
        <v>7</v>
      </c>
      <c r="H33" s="24">
        <v>6</v>
      </c>
      <c r="I33" s="24">
        <v>5.1340981926826457</v>
      </c>
      <c r="J33" s="24">
        <v>5.0223099195277232</v>
      </c>
      <c r="K33" s="24">
        <v>8.2293341359501717</v>
      </c>
      <c r="L33" s="2"/>
      <c r="M33" s="2"/>
      <c r="N33" s="2"/>
      <c r="O33" s="2"/>
      <c r="P33" s="2"/>
      <c r="Q33" s="2"/>
      <c r="R33" s="2"/>
      <c r="S33" s="2"/>
      <c r="T33" s="2"/>
    </row>
    <row r="34" spans="1:20" ht="12.75" customHeight="1">
      <c r="A34" s="184" t="s">
        <v>12</v>
      </c>
      <c r="B34" s="24">
        <v>2</v>
      </c>
      <c r="C34" s="24">
        <v>2.2000000000000002</v>
      </c>
      <c r="D34" s="24">
        <v>8.6999999999999993</v>
      </c>
      <c r="E34" s="24">
        <v>6.8</v>
      </c>
      <c r="F34" s="24">
        <v>5.7</v>
      </c>
      <c r="G34" s="24">
        <v>-9.1999999999999993</v>
      </c>
      <c r="H34" s="24">
        <v>22.8</v>
      </c>
      <c r="I34" s="24">
        <v>5.1699840796192609</v>
      </c>
      <c r="J34" s="24">
        <v>2.8856579201584909</v>
      </c>
      <c r="K34" s="24">
        <v>3.9398219061876461</v>
      </c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85" t="s">
        <v>157</v>
      </c>
      <c r="B35" s="287">
        <v>0.1</v>
      </c>
      <c r="C35" s="287">
        <v>0.9</v>
      </c>
      <c r="D35" s="287">
        <v>13.6</v>
      </c>
      <c r="E35" s="287">
        <v>9.1999999999999993</v>
      </c>
      <c r="F35" s="287">
        <v>3.1</v>
      </c>
      <c r="G35" s="287">
        <v>-8.4</v>
      </c>
      <c r="H35" s="287">
        <v>22.3</v>
      </c>
      <c r="I35" s="287">
        <v>5.2037745974817806</v>
      </c>
      <c r="J35" s="287">
        <v>2.0601152544164725</v>
      </c>
      <c r="K35" s="287">
        <v>1.2719068609057693</v>
      </c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85" t="s">
        <v>158</v>
      </c>
      <c r="B36" s="287">
        <v>4</v>
      </c>
      <c r="C36" s="287">
        <v>3.4</v>
      </c>
      <c r="D36" s="287">
        <v>3.2</v>
      </c>
      <c r="E36" s="287">
        <v>6</v>
      </c>
      <c r="F36" s="287">
        <v>8.1999999999999993</v>
      </c>
      <c r="G36" s="287">
        <v>-15</v>
      </c>
      <c r="H36" s="287">
        <v>31.5</v>
      </c>
      <c r="I36" s="287">
        <v>5.2733680276932038</v>
      </c>
      <c r="J36" s="287">
        <v>3.891809143920244</v>
      </c>
      <c r="K36" s="287">
        <v>8.285970816246202</v>
      </c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85" t="s">
        <v>159</v>
      </c>
      <c r="B37" s="287">
        <v>3.5</v>
      </c>
      <c r="C37" s="287">
        <v>3.5</v>
      </c>
      <c r="D37" s="287">
        <v>5.9</v>
      </c>
      <c r="E37" s="287">
        <v>3.1</v>
      </c>
      <c r="F37" s="287">
        <v>8.1</v>
      </c>
      <c r="G37" s="287">
        <v>-4.7</v>
      </c>
      <c r="H37" s="287">
        <v>15.6</v>
      </c>
      <c r="I37" s="287">
        <v>4.9927454365689794</v>
      </c>
      <c r="J37" s="287">
        <v>3.4097304474610901</v>
      </c>
      <c r="K37" s="287">
        <v>4.3608470942088529</v>
      </c>
      <c r="L37" s="2"/>
      <c r="M37" s="2"/>
      <c r="N37" s="2"/>
      <c r="O37" s="2"/>
      <c r="P37" s="2"/>
      <c r="Q37" s="2"/>
      <c r="R37" s="2"/>
      <c r="S37" s="2"/>
      <c r="T37" s="2"/>
    </row>
    <row r="38" spans="1:20" ht="12.75" customHeight="1">
      <c r="A38" s="284" t="s">
        <v>100</v>
      </c>
      <c r="B38" s="24">
        <v>4.9000000000000004</v>
      </c>
      <c r="C38" s="24">
        <v>9.5</v>
      </c>
      <c r="D38" s="24">
        <v>6.4</v>
      </c>
      <c r="E38" s="24">
        <v>5.4</v>
      </c>
      <c r="F38" s="24">
        <v>5.5</v>
      </c>
      <c r="G38" s="287">
        <v>5.6</v>
      </c>
      <c r="H38" s="24">
        <v>8.9</v>
      </c>
      <c r="I38" s="24">
        <v>3.3874483766104468</v>
      </c>
      <c r="J38" s="24">
        <v>4.4800329583182696</v>
      </c>
      <c r="K38" s="24">
        <v>6.3412157157552329</v>
      </c>
      <c r="L38" s="2"/>
      <c r="M38" s="2"/>
      <c r="N38" s="2"/>
      <c r="O38" s="2"/>
      <c r="P38" s="2"/>
      <c r="Q38" s="2"/>
      <c r="R38" s="2"/>
      <c r="S38" s="2"/>
      <c r="T38" s="2"/>
    </row>
    <row r="39" spans="1:20" ht="12.75" customHeight="1">
      <c r="A39" s="184" t="s">
        <v>96</v>
      </c>
      <c r="B39" s="24">
        <v>3.8</v>
      </c>
      <c r="C39" s="24">
        <v>14.9</v>
      </c>
      <c r="D39" s="24">
        <v>16.5</v>
      </c>
      <c r="E39" s="24">
        <v>3.7</v>
      </c>
      <c r="F39" s="24">
        <v>8</v>
      </c>
      <c r="G39" s="287">
        <v>-28.3</v>
      </c>
      <c r="H39" s="24">
        <v>12.4</v>
      </c>
      <c r="I39" s="24">
        <v>18.408101364307903</v>
      </c>
      <c r="J39" s="24">
        <v>16.228310949360569</v>
      </c>
      <c r="K39" s="24">
        <v>15.018333121751448</v>
      </c>
      <c r="L39" s="2"/>
      <c r="M39" s="2"/>
      <c r="N39" s="2"/>
      <c r="O39" s="2"/>
      <c r="P39" s="2"/>
      <c r="Q39" s="2"/>
      <c r="R39" s="2"/>
      <c r="S39" s="2"/>
      <c r="T39" s="2"/>
    </row>
    <row r="40" spans="1:20" ht="12.75" customHeight="1">
      <c r="A40" s="184" t="s">
        <v>97</v>
      </c>
      <c r="B40" s="24">
        <v>3.4</v>
      </c>
      <c r="C40" s="24">
        <v>5.0999999999999996</v>
      </c>
      <c r="D40" s="24">
        <v>3.9</v>
      </c>
      <c r="E40" s="24">
        <v>4</v>
      </c>
      <c r="F40" s="24">
        <v>4.9000000000000004</v>
      </c>
      <c r="G40" s="287">
        <v>-19.5</v>
      </c>
      <c r="H40" s="24">
        <v>18.899999999999999</v>
      </c>
      <c r="I40" s="24">
        <v>7.0622893785601493</v>
      </c>
      <c r="J40" s="24">
        <v>3.571566289837258</v>
      </c>
      <c r="K40" s="24">
        <v>4.1141639700576382</v>
      </c>
      <c r="L40" s="2"/>
      <c r="M40" s="2"/>
      <c r="N40" s="2"/>
      <c r="O40" s="2"/>
      <c r="P40" s="2"/>
      <c r="Q40" s="2"/>
      <c r="R40" s="2"/>
      <c r="S40" s="2"/>
      <c r="T40" s="2"/>
    </row>
    <row r="41" spans="1:20" ht="12.75" customHeight="1">
      <c r="A41" s="184" t="s">
        <v>98</v>
      </c>
      <c r="B41" s="24">
        <v>1.5</v>
      </c>
      <c r="C41" s="24">
        <v>1.5</v>
      </c>
      <c r="D41" s="24">
        <v>1.5</v>
      </c>
      <c r="E41" s="24">
        <v>1.5</v>
      </c>
      <c r="F41" s="24">
        <v>1.5</v>
      </c>
      <c r="G41" s="287">
        <v>1.5</v>
      </c>
      <c r="H41" s="24">
        <v>1.5</v>
      </c>
      <c r="I41" s="24">
        <v>1.5000000328857954</v>
      </c>
      <c r="J41" s="24">
        <v>1.5000004859969662</v>
      </c>
      <c r="K41" s="24">
        <v>1.4999989146865733</v>
      </c>
      <c r="L41" s="2"/>
      <c r="M41" s="2"/>
      <c r="N41" s="2"/>
      <c r="O41" s="2"/>
      <c r="P41" s="2"/>
      <c r="Q41" s="2"/>
      <c r="R41" s="2"/>
      <c r="S41" s="2"/>
      <c r="T41" s="2"/>
    </row>
    <row r="42" spans="1:20" ht="12.75" customHeight="1">
      <c r="A42" s="184" t="s">
        <v>141</v>
      </c>
      <c r="B42" s="109">
        <v>12.4</v>
      </c>
      <c r="C42" s="109">
        <v>0.2</v>
      </c>
      <c r="D42" s="109">
        <v>-6</v>
      </c>
      <c r="E42" s="109">
        <v>3.7</v>
      </c>
      <c r="F42" s="109">
        <v>9.5</v>
      </c>
      <c r="G42" s="113">
        <v>-1.8</v>
      </c>
      <c r="H42" s="109">
        <v>5.3</v>
      </c>
      <c r="I42" s="109">
        <v>0.241503011435662</v>
      </c>
      <c r="J42" s="109">
        <v>2.7072374107993458</v>
      </c>
      <c r="K42" s="109">
        <v>9.0194498237214482</v>
      </c>
      <c r="L42" s="2"/>
      <c r="M42" s="2"/>
      <c r="N42" s="2"/>
      <c r="O42" s="2"/>
      <c r="P42" s="2"/>
      <c r="Q42" s="2"/>
      <c r="R42" s="2"/>
      <c r="S42" s="2"/>
      <c r="T42" s="2"/>
    </row>
    <row r="43" spans="1:20" ht="12.75" customHeight="1">
      <c r="A43" s="186" t="s">
        <v>5</v>
      </c>
      <c r="B43" s="108">
        <v>5.3</v>
      </c>
      <c r="C43" s="108">
        <v>4.4000000000000004</v>
      </c>
      <c r="D43" s="108">
        <v>3.7</v>
      </c>
      <c r="E43" s="108">
        <v>5.6</v>
      </c>
      <c r="F43" s="108">
        <v>5.2</v>
      </c>
      <c r="G43" s="108">
        <v>0.5</v>
      </c>
      <c r="H43" s="108">
        <v>7.2</v>
      </c>
      <c r="I43" s="108">
        <v>4.6917967350594392</v>
      </c>
      <c r="J43" s="108">
        <v>5.9626509605277267</v>
      </c>
      <c r="K43" s="108">
        <v>4.7545502642390547</v>
      </c>
      <c r="L43" s="2"/>
      <c r="M43" s="2"/>
      <c r="N43" s="2"/>
      <c r="O43" s="2"/>
      <c r="P43" s="2"/>
      <c r="Q43" s="2"/>
      <c r="R43" s="2"/>
      <c r="S43" s="2"/>
      <c r="T43" s="2"/>
    </row>
    <row r="44" spans="1:20" ht="12.75" customHeight="1">
      <c r="A44" s="322" t="s">
        <v>17</v>
      </c>
      <c r="B44" s="109">
        <v>5.6</v>
      </c>
      <c r="C44" s="109">
        <v>5.3</v>
      </c>
      <c r="D44" s="109">
        <v>5.0999999999999996</v>
      </c>
      <c r="E44" s="24">
        <v>5.6</v>
      </c>
      <c r="F44" s="109">
        <v>5.9</v>
      </c>
      <c r="G44" s="109">
        <v>-0.58585313642596759</v>
      </c>
      <c r="H44" s="109">
        <v>9.2523387135479567</v>
      </c>
      <c r="I44" s="24">
        <v>6.2093473819000025</v>
      </c>
      <c r="J44" s="24">
        <v>5.8281645860383264</v>
      </c>
      <c r="K44" s="24">
        <v>4.7822078783619162</v>
      </c>
      <c r="L44" s="2"/>
      <c r="M44" s="2"/>
      <c r="N44" s="2"/>
      <c r="O44" s="2"/>
      <c r="P44" s="2"/>
      <c r="Q44" s="2"/>
      <c r="R44" s="2"/>
      <c r="S44" s="2"/>
      <c r="T44" s="2"/>
    </row>
    <row r="45" spans="1:20" ht="12.75" customHeight="1">
      <c r="A45" s="187" t="s">
        <v>8</v>
      </c>
      <c r="B45" s="108">
        <v>1.8</v>
      </c>
      <c r="C45" s="108">
        <v>2.4</v>
      </c>
      <c r="D45" s="108">
        <v>5.7</v>
      </c>
      <c r="E45" s="108">
        <v>5.9</v>
      </c>
      <c r="F45" s="24">
        <v>3.9</v>
      </c>
      <c r="G45" s="287">
        <v>-8</v>
      </c>
      <c r="H45" s="24">
        <v>11.9</v>
      </c>
      <c r="I45" s="108">
        <v>6.6703691405282095</v>
      </c>
      <c r="J45" s="108">
        <v>3.1563628986231995</v>
      </c>
      <c r="K45" s="108">
        <v>4.401227673331376</v>
      </c>
      <c r="L45" s="2"/>
      <c r="M45" s="2"/>
      <c r="N45" s="2"/>
      <c r="O45" s="2"/>
      <c r="P45" s="2"/>
      <c r="Q45" s="2"/>
      <c r="R45" s="2"/>
      <c r="S45" s="2"/>
      <c r="T45" s="2"/>
    </row>
    <row r="46" spans="1:20" ht="12.75" customHeight="1">
      <c r="A46" s="188" t="s">
        <v>6</v>
      </c>
      <c r="B46" s="109">
        <v>5</v>
      </c>
      <c r="C46" s="109">
        <v>4.2</v>
      </c>
      <c r="D46" s="109">
        <v>3.8</v>
      </c>
      <c r="E46" s="109">
        <v>5.6</v>
      </c>
      <c r="F46" s="109">
        <v>5.0999999999999996</v>
      </c>
      <c r="G46" s="109">
        <v>-0.3</v>
      </c>
      <c r="H46" s="109">
        <v>7.6</v>
      </c>
      <c r="I46" s="109">
        <v>4.8599790442596325</v>
      </c>
      <c r="J46" s="109">
        <v>5.7199929439028407</v>
      </c>
      <c r="K46" s="109">
        <v>4.7247395283357418</v>
      </c>
      <c r="L46" s="2"/>
      <c r="M46" s="2"/>
      <c r="N46" s="2"/>
      <c r="O46" s="2"/>
      <c r="P46" s="2"/>
      <c r="Q46" s="2"/>
      <c r="R46" s="2"/>
      <c r="S46" s="2"/>
      <c r="T46" s="2"/>
    </row>
    <row r="47" spans="1:20" ht="12.75" customHeight="1">
      <c r="A47" s="363" t="s">
        <v>18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20" ht="12.75" customHeight="1">
      <c r="A48" s="364" t="s">
        <v>196</v>
      </c>
      <c r="B48" s="6"/>
      <c r="C48" s="6"/>
      <c r="D48" s="6"/>
      <c r="E48" s="6"/>
      <c r="F48" s="6"/>
      <c r="G48" s="24"/>
      <c r="H48" s="24"/>
      <c r="I48" s="24"/>
      <c r="J48" s="24"/>
      <c r="K48" s="24"/>
    </row>
    <row r="49" spans="2:11">
      <c r="D49" s="2"/>
      <c r="E49" s="2"/>
      <c r="F49" s="2"/>
      <c r="G49" s="2"/>
      <c r="H49" s="2"/>
      <c r="I49" s="2"/>
      <c r="J49" s="2"/>
      <c r="K49" s="2"/>
    </row>
    <row r="50" spans="2:11">
      <c r="D50" s="2"/>
      <c r="E50" s="2"/>
      <c r="F50" s="2"/>
      <c r="G50" s="2"/>
      <c r="H50" s="2"/>
      <c r="I50" s="2"/>
      <c r="J50" s="2"/>
      <c r="K50" s="2"/>
    </row>
    <row r="52" spans="2:11">
      <c r="B52" s="10"/>
      <c r="C52" s="10"/>
      <c r="D52" s="10"/>
      <c r="E52" s="10"/>
      <c r="F52" s="10"/>
      <c r="G52" s="10"/>
      <c r="H52" s="10"/>
      <c r="I52" s="10"/>
      <c r="J52" s="10"/>
      <c r="K52" s="10"/>
    </row>
  </sheetData>
  <pageMargins left="0.74803149606299202" right="0.23622047244094499" top="0.74803149606299202" bottom="0.511811023622047" header="0.23622047244094499" footer="0.23622047244094499"/>
  <pageSetup paperSize="9" scale="64" firstPageNumber="13" orientation="portrait" useFirstPageNumber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showGridLines="0" view="pageBreakPreview" zoomScaleSheetLayoutView="100" workbookViewId="0">
      <selection activeCell="B7" sqref="B7"/>
    </sheetView>
  </sheetViews>
  <sheetFormatPr defaultRowHeight="14.4"/>
  <cols>
    <col min="1" max="1" width="37" style="6" customWidth="1"/>
    <col min="2" max="2" width="11.44140625" style="6" customWidth="1"/>
    <col min="3" max="3" width="10.5546875" style="6" customWidth="1"/>
    <col min="4" max="4" width="10.109375" style="6" customWidth="1"/>
    <col min="5" max="5" width="10.5546875" style="6" customWidth="1"/>
    <col min="6" max="6" width="11" style="6" customWidth="1"/>
    <col min="7" max="7" width="13.44140625" style="6" customWidth="1"/>
    <col min="11" max="11" width="20.44140625" bestFit="1" customWidth="1"/>
    <col min="14" max="14" width="18.5546875" bestFit="1" customWidth="1"/>
  </cols>
  <sheetData>
    <row r="1" spans="1:19">
      <c r="A1" s="79" t="s">
        <v>106</v>
      </c>
      <c r="B1" s="80"/>
      <c r="C1" s="80"/>
      <c r="D1" s="80"/>
      <c r="E1" s="80"/>
      <c r="F1" s="80"/>
    </row>
    <row r="2" spans="1:19">
      <c r="A2" s="84" t="s">
        <v>121</v>
      </c>
      <c r="B2" s="82"/>
      <c r="C2" s="82"/>
      <c r="D2" s="82"/>
      <c r="E2" s="82"/>
      <c r="F2" s="94" t="s">
        <v>75</v>
      </c>
      <c r="G2" s="61"/>
    </row>
    <row r="3" spans="1:19">
      <c r="A3" s="111"/>
      <c r="B3" s="104" t="s">
        <v>112</v>
      </c>
      <c r="C3" s="104" t="s">
        <v>108</v>
      </c>
      <c r="D3" s="104" t="s">
        <v>109</v>
      </c>
      <c r="E3" s="104" t="s">
        <v>110</v>
      </c>
      <c r="F3" s="104" t="s">
        <v>111</v>
      </c>
      <c r="K3" s="69"/>
    </row>
    <row r="4" spans="1:19">
      <c r="A4" s="35" t="s">
        <v>19</v>
      </c>
      <c r="B4" s="114"/>
      <c r="C4" s="36"/>
      <c r="D4" s="36"/>
      <c r="E4" s="36"/>
      <c r="F4" s="36"/>
      <c r="N4" s="69"/>
    </row>
    <row r="5" spans="1:19">
      <c r="A5" s="37" t="s">
        <v>20</v>
      </c>
      <c r="B5" s="115">
        <v>1122506.7317015405</v>
      </c>
      <c r="C5" s="38">
        <v>1248409.910299371</v>
      </c>
      <c r="D5" s="38">
        <v>1452841.1637573242</v>
      </c>
      <c r="E5" s="38">
        <v>1694093.9491577148</v>
      </c>
      <c r="F5" s="38">
        <v>1884189.28125</v>
      </c>
      <c r="G5" s="68"/>
      <c r="N5" s="69"/>
      <c r="O5" s="69"/>
      <c r="P5" s="69"/>
      <c r="Q5" s="69"/>
      <c r="R5" s="69"/>
      <c r="S5" s="69"/>
    </row>
    <row r="6" spans="1:19">
      <c r="A6" s="37" t="s">
        <v>21</v>
      </c>
      <c r="B6" s="115">
        <v>422395.21474820364</v>
      </c>
      <c r="C6" s="38">
        <v>489507.32344822504</v>
      </c>
      <c r="D6" s="38">
        <v>567840.49311371567</v>
      </c>
      <c r="E6" s="38">
        <v>731737.81286224024</v>
      </c>
      <c r="F6" s="38">
        <v>814704.32759153657</v>
      </c>
      <c r="G6" s="62"/>
      <c r="N6" s="69"/>
      <c r="O6" s="69"/>
      <c r="P6" s="69"/>
      <c r="Q6" s="69"/>
      <c r="R6" s="69"/>
      <c r="S6" s="69"/>
    </row>
    <row r="7" spans="1:19">
      <c r="A7" s="37" t="s">
        <v>22</v>
      </c>
      <c r="B7" s="115">
        <v>1803094.3035502555</v>
      </c>
      <c r="C7" s="38">
        <v>2091178.5162524041</v>
      </c>
      <c r="D7" s="38">
        <v>2231124.2835586476</v>
      </c>
      <c r="E7" s="38">
        <v>2446727.7880899082</v>
      </c>
      <c r="F7" s="38">
        <v>2969286.439437272</v>
      </c>
      <c r="G7" s="63"/>
      <c r="N7" s="69"/>
      <c r="O7" s="69"/>
      <c r="P7" s="69"/>
      <c r="Q7" s="69"/>
      <c r="R7" s="69"/>
      <c r="S7" s="69"/>
    </row>
    <row r="8" spans="1:19">
      <c r="A8" s="35" t="s">
        <v>23</v>
      </c>
      <c r="B8" s="116">
        <v>3347996.2499999995</v>
      </c>
      <c r="C8" s="39">
        <v>3829095.75</v>
      </c>
      <c r="D8" s="39">
        <f>SUM(D5:D7)</f>
        <v>4251805.9404296875</v>
      </c>
      <c r="E8" s="39">
        <f t="shared" ref="E8:F8" si="0">SUM(E5:E7)</f>
        <v>4872559.5501098633</v>
      </c>
      <c r="F8" s="39">
        <f t="shared" si="0"/>
        <v>5668180.0482788086</v>
      </c>
      <c r="G8" s="63"/>
      <c r="N8" s="69"/>
      <c r="O8" s="69"/>
      <c r="P8" s="69"/>
      <c r="Q8" s="69"/>
      <c r="R8" s="69"/>
      <c r="S8" s="69"/>
    </row>
    <row r="9" spans="1:19">
      <c r="A9" s="37" t="s">
        <v>24</v>
      </c>
      <c r="B9" s="115">
        <v>377922.125</v>
      </c>
      <c r="C9" s="38">
        <v>432055</v>
      </c>
      <c r="D9" s="38">
        <v>493633.21875</v>
      </c>
      <c r="E9" s="38">
        <v>525460.1875</v>
      </c>
      <c r="F9" s="38">
        <v>556188.8125</v>
      </c>
      <c r="G9" s="63"/>
      <c r="N9" s="69"/>
      <c r="O9" s="69"/>
      <c r="P9" s="69"/>
      <c r="Q9" s="69"/>
      <c r="R9" s="69"/>
      <c r="S9" s="69"/>
    </row>
    <row r="10" spans="1:19">
      <c r="A10" s="37" t="s">
        <v>25</v>
      </c>
      <c r="B10" s="115"/>
      <c r="C10" s="38"/>
      <c r="D10" s="38"/>
      <c r="E10" s="38"/>
      <c r="F10" s="38"/>
      <c r="G10" s="64"/>
      <c r="N10" s="69"/>
      <c r="O10" s="69"/>
      <c r="P10" s="69"/>
      <c r="Q10" s="69"/>
      <c r="R10" s="69"/>
      <c r="S10" s="69"/>
    </row>
    <row r="11" spans="1:19">
      <c r="A11" s="35" t="s">
        <v>26</v>
      </c>
      <c r="B11" s="116">
        <v>3725918.3749999995</v>
      </c>
      <c r="C11" s="39">
        <v>4261150.75</v>
      </c>
      <c r="D11" s="39">
        <f>D8+D9</f>
        <v>4745439.1591796875</v>
      </c>
      <c r="E11" s="39">
        <f t="shared" ref="E11:F11" si="1">E8+E9</f>
        <v>5398019.7376098633</v>
      </c>
      <c r="F11" s="39">
        <f t="shared" si="1"/>
        <v>6224368.8607788086</v>
      </c>
      <c r="G11" s="63"/>
      <c r="N11" s="69"/>
      <c r="O11" s="69"/>
      <c r="P11" s="69"/>
      <c r="Q11" s="69"/>
      <c r="R11" s="69"/>
      <c r="S11" s="69"/>
    </row>
    <row r="12" spans="1:19">
      <c r="A12" s="37" t="s">
        <v>27</v>
      </c>
      <c r="B12" s="116"/>
      <c r="C12" s="39"/>
      <c r="D12" s="39"/>
      <c r="E12" s="39"/>
      <c r="F12" s="39"/>
      <c r="G12" s="63"/>
      <c r="N12" s="69"/>
      <c r="O12" s="69"/>
      <c r="P12" s="69"/>
      <c r="Q12" s="69"/>
      <c r="R12" s="69"/>
      <c r="S12" s="69"/>
    </row>
    <row r="13" spans="1:19">
      <c r="A13" s="40" t="s">
        <v>28</v>
      </c>
      <c r="B13" s="115">
        <v>25710.066999999999</v>
      </c>
      <c r="C13" s="38">
        <v>17162.634810380223</v>
      </c>
      <c r="D13" s="38">
        <v>28712.400000000001</v>
      </c>
      <c r="E13" s="38">
        <v>27568.2</v>
      </c>
      <c r="F13" s="38">
        <v>30473.200000000001</v>
      </c>
      <c r="G13" s="64"/>
      <c r="N13" s="69"/>
      <c r="O13" s="69"/>
      <c r="P13" s="69"/>
      <c r="Q13" s="69"/>
      <c r="R13" s="69"/>
      <c r="S13" s="69"/>
    </row>
    <row r="14" spans="1:19">
      <c r="A14" s="40" t="s">
        <v>29</v>
      </c>
      <c r="B14" s="115">
        <v>-25090.509765625</v>
      </c>
      <c r="C14" s="38">
        <v>-29619.009765625</v>
      </c>
      <c r="D14" s="38">
        <v>-80383.899999999994</v>
      </c>
      <c r="E14" s="38">
        <v>-81255.899999999994</v>
      </c>
      <c r="F14" s="38">
        <v>-80095.5</v>
      </c>
      <c r="G14" s="64"/>
      <c r="N14" s="69"/>
      <c r="O14" s="69"/>
      <c r="P14" s="69"/>
      <c r="Q14" s="69"/>
      <c r="R14" s="69"/>
      <c r="S14" s="69"/>
    </row>
    <row r="15" spans="1:19">
      <c r="A15" s="35" t="s">
        <v>30</v>
      </c>
      <c r="B15" s="116">
        <v>3726537.9322343748</v>
      </c>
      <c r="C15" s="39">
        <v>4248694.3750447556</v>
      </c>
      <c r="D15" s="39">
        <v>4693767.6591796875</v>
      </c>
      <c r="E15" s="39">
        <v>5344332.0376098631</v>
      </c>
      <c r="F15" s="39">
        <v>6174746.5607788088</v>
      </c>
      <c r="G15" s="63"/>
      <c r="N15" s="69"/>
      <c r="O15" s="69"/>
      <c r="P15" s="69"/>
      <c r="Q15" s="69"/>
      <c r="R15" s="69"/>
      <c r="S15" s="69"/>
    </row>
    <row r="16" spans="1:19">
      <c r="A16" s="37" t="s">
        <v>31</v>
      </c>
      <c r="B16" s="116"/>
      <c r="C16" s="39"/>
      <c r="D16" s="39"/>
      <c r="E16" s="39"/>
      <c r="F16" s="39"/>
      <c r="G16" s="63"/>
      <c r="N16" s="69"/>
      <c r="O16" s="69"/>
      <c r="P16" s="69"/>
      <c r="Q16" s="69"/>
      <c r="R16" s="69"/>
      <c r="S16" s="69"/>
    </row>
    <row r="17" spans="1:19">
      <c r="A17" s="40" t="s">
        <v>28</v>
      </c>
      <c r="B17" s="115">
        <v>279617.48500198399</v>
      </c>
      <c r="C17" s="38">
        <v>240850.47168320001</v>
      </c>
      <c r="D17" s="38">
        <v>268925.2</v>
      </c>
      <c r="E17" s="38">
        <v>327853.40000000002</v>
      </c>
      <c r="F17" s="38">
        <v>343203.3</v>
      </c>
      <c r="G17" s="64"/>
      <c r="N17" s="69"/>
      <c r="O17" s="69"/>
      <c r="P17" s="69"/>
      <c r="Q17" s="69"/>
      <c r="R17" s="69"/>
      <c r="S17" s="69"/>
    </row>
    <row r="18" spans="1:19">
      <c r="A18" s="40" t="s">
        <v>29</v>
      </c>
      <c r="B18" s="115">
        <v>-4120.8873000000003</v>
      </c>
      <c r="C18" s="38">
        <v>-3351.9115999999999</v>
      </c>
      <c r="D18" s="38">
        <v>-4020.2345399999999</v>
      </c>
      <c r="E18" s="38">
        <v>-17853.062293999999</v>
      </c>
      <c r="F18" s="38">
        <v>-6248.4357419999997</v>
      </c>
      <c r="G18" s="64"/>
      <c r="N18" s="69"/>
      <c r="O18" s="69"/>
      <c r="P18" s="69"/>
      <c r="Q18" s="69"/>
      <c r="R18" s="69"/>
      <c r="S18" s="69"/>
    </row>
    <row r="19" spans="1:19">
      <c r="A19" s="70" t="s">
        <v>32</v>
      </c>
      <c r="B19" s="117">
        <v>4002034.5299363588</v>
      </c>
      <c r="C19" s="71">
        <v>4486192.9351279559</v>
      </c>
      <c r="D19" s="71">
        <v>4958672.6246396881</v>
      </c>
      <c r="E19" s="71">
        <v>5654332.3753158636</v>
      </c>
      <c r="F19" s="71">
        <v>6511701.4250368085</v>
      </c>
      <c r="G19" s="63"/>
      <c r="N19" s="69"/>
      <c r="O19" s="69"/>
      <c r="P19" s="69"/>
      <c r="Q19" s="69"/>
      <c r="R19" s="69"/>
      <c r="S19" s="69"/>
    </row>
    <row r="20" spans="1:19">
      <c r="A20" s="35" t="s">
        <v>33</v>
      </c>
      <c r="B20" s="118"/>
      <c r="C20" s="72"/>
      <c r="D20" s="72"/>
      <c r="E20" s="72"/>
      <c r="F20" s="72"/>
      <c r="G20" s="63"/>
      <c r="N20" s="69"/>
      <c r="O20" s="69"/>
      <c r="P20" s="69"/>
      <c r="Q20" s="69"/>
      <c r="R20" s="69"/>
      <c r="S20" s="69"/>
    </row>
    <row r="21" spans="1:19">
      <c r="A21" s="37" t="s">
        <v>26</v>
      </c>
      <c r="B21" s="115">
        <v>94219.427414529389</v>
      </c>
      <c r="C21" s="38">
        <v>104820.85959214935</v>
      </c>
      <c r="D21" s="38">
        <v>113210.26746843303</v>
      </c>
      <c r="E21" s="38">
        <v>124709.58451985974</v>
      </c>
      <c r="F21" s="38">
        <v>140961.30822773714</v>
      </c>
      <c r="G21" s="65"/>
      <c r="N21" s="69"/>
      <c r="O21" s="69"/>
      <c r="P21" s="69"/>
      <c r="Q21" s="69"/>
      <c r="R21" s="69"/>
      <c r="S21" s="69"/>
    </row>
    <row r="22" spans="1:19">
      <c r="A22" s="37" t="s">
        <v>30</v>
      </c>
      <c r="B22" s="115">
        <v>94235.09451240921</v>
      </c>
      <c r="C22" s="38">
        <v>104514.44285009656</v>
      </c>
      <c r="D22" s="38">
        <v>112311.07724814018</v>
      </c>
      <c r="E22" s="38">
        <v>124399.07765141272</v>
      </c>
      <c r="F22" s="38">
        <v>139837.52773179879</v>
      </c>
      <c r="G22" s="66"/>
      <c r="N22" s="69"/>
      <c r="O22" s="69"/>
      <c r="P22" s="69"/>
      <c r="Q22" s="69"/>
      <c r="R22" s="69"/>
      <c r="S22" s="69"/>
    </row>
    <row r="23" spans="1:19">
      <c r="A23" s="35" t="s">
        <v>34</v>
      </c>
      <c r="B23" s="114"/>
      <c r="C23" s="36"/>
      <c r="D23" s="36"/>
      <c r="E23" s="36"/>
      <c r="F23" s="36"/>
      <c r="G23" s="63"/>
      <c r="N23" s="69"/>
      <c r="O23" s="69"/>
      <c r="P23" s="69"/>
      <c r="Q23" s="69"/>
      <c r="R23" s="69"/>
      <c r="S23" s="69"/>
    </row>
    <row r="24" spans="1:19">
      <c r="A24" s="37" t="s">
        <v>35</v>
      </c>
      <c r="B24" s="115">
        <v>3294025.7121582031</v>
      </c>
      <c r="C24" s="38">
        <v>3444066.3740234375</v>
      </c>
      <c r="D24" s="38">
        <v>3640155.78125</v>
      </c>
      <c r="E24" s="38">
        <v>3834244.28125</v>
      </c>
      <c r="F24" s="38">
        <v>4050848.28125</v>
      </c>
      <c r="G24" s="63"/>
      <c r="N24" s="69"/>
      <c r="O24" s="69"/>
      <c r="P24" s="69"/>
      <c r="Q24" s="69"/>
      <c r="R24" s="69"/>
      <c r="S24" s="69"/>
    </row>
    <row r="25" spans="1:19">
      <c r="A25" s="37" t="s">
        <v>36</v>
      </c>
      <c r="B25" s="115">
        <v>83297.910810588626</v>
      </c>
      <c r="C25" s="38">
        <v>84721.245268676226</v>
      </c>
      <c r="D25" s="38">
        <v>87105.423591234648</v>
      </c>
      <c r="E25" s="38">
        <v>89240.458771109959</v>
      </c>
      <c r="F25" s="38">
        <v>91588</v>
      </c>
      <c r="G25" s="62"/>
      <c r="N25" s="69"/>
      <c r="O25" s="69"/>
      <c r="P25" s="69"/>
      <c r="Q25" s="69"/>
      <c r="R25" s="69"/>
      <c r="S25" s="69"/>
    </row>
    <row r="26" spans="1:19">
      <c r="A26" s="112" t="s">
        <v>59</v>
      </c>
      <c r="B26" s="119">
        <v>3.2339199455524437</v>
      </c>
      <c r="C26" s="113">
        <v>1.7087276790460182</v>
      </c>
      <c r="D26" s="113">
        <v>2.8141445690481603</v>
      </c>
      <c r="E26" s="113">
        <v>2.4510932750807068</v>
      </c>
      <c r="F26" s="113">
        <v>2.6</v>
      </c>
      <c r="G26" s="63"/>
      <c r="N26" s="69"/>
      <c r="O26" s="69"/>
      <c r="P26" s="69"/>
      <c r="Q26" s="69"/>
      <c r="R26" s="69"/>
      <c r="S26" s="69"/>
    </row>
    <row r="27" spans="1:19">
      <c r="A27" s="6" t="s">
        <v>18</v>
      </c>
    </row>
    <row r="28" spans="1:19" ht="15.6">
      <c r="A28" s="7" t="s">
        <v>76</v>
      </c>
    </row>
  </sheetData>
  <pageMargins left="0.63" right="0.26" top="0.17" bottom="0.44" header="0.13" footer="0.23"/>
  <pageSetup paperSize="9" firstPageNumber="57" orientation="portrait" useFirstPageNumber="1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view="pageBreakPreview" topLeftCell="A27" zoomScaleSheetLayoutView="100" workbookViewId="0">
      <selection activeCell="A35" sqref="A35"/>
    </sheetView>
  </sheetViews>
  <sheetFormatPr defaultRowHeight="14.4"/>
  <cols>
    <col min="1" max="1" width="35.88671875" style="6" customWidth="1"/>
    <col min="2" max="2" width="9.5546875" style="6" customWidth="1"/>
    <col min="3" max="3" width="9.44140625" style="6" customWidth="1"/>
    <col min="4" max="4" width="9" style="6" customWidth="1"/>
    <col min="5" max="5" width="9.5546875" style="6" customWidth="1"/>
    <col min="6" max="6" width="10" customWidth="1"/>
  </cols>
  <sheetData>
    <row r="1" spans="1:12">
      <c r="A1" s="79" t="s">
        <v>106</v>
      </c>
      <c r="B1" s="80"/>
      <c r="C1" s="80"/>
      <c r="D1" s="80"/>
      <c r="E1" s="80"/>
      <c r="F1" s="80"/>
    </row>
    <row r="2" spans="1:12">
      <c r="A2" s="88" t="s">
        <v>118</v>
      </c>
      <c r="B2" s="89"/>
      <c r="C2" s="89"/>
      <c r="D2" s="89"/>
      <c r="E2" s="89"/>
      <c r="F2" s="90"/>
    </row>
    <row r="3" spans="1:12">
      <c r="A3" s="91"/>
      <c r="B3" s="92"/>
      <c r="C3" s="92"/>
      <c r="D3" s="82"/>
      <c r="E3" s="93"/>
      <c r="F3" s="93" t="s">
        <v>60</v>
      </c>
    </row>
    <row r="4" spans="1:12">
      <c r="A4" s="122" t="s">
        <v>61</v>
      </c>
      <c r="B4" s="104" t="s">
        <v>112</v>
      </c>
      <c r="C4" s="104" t="s">
        <v>108</v>
      </c>
      <c r="D4" s="104" t="s">
        <v>109</v>
      </c>
      <c r="E4" s="104" t="s">
        <v>110</v>
      </c>
      <c r="F4" s="104" t="s">
        <v>111</v>
      </c>
    </row>
    <row r="5" spans="1:12">
      <c r="A5" s="37" t="s">
        <v>62</v>
      </c>
      <c r="B5" s="11">
        <v>522061.59375</v>
      </c>
      <c r="C5" s="11">
        <v>596065.1875</v>
      </c>
      <c r="D5" s="11">
        <v>680257.75</v>
      </c>
      <c r="E5" s="75">
        <v>766030.09375</v>
      </c>
      <c r="F5" s="75">
        <v>902013.71875</v>
      </c>
      <c r="H5" s="3"/>
      <c r="I5" s="3"/>
      <c r="J5" s="3"/>
      <c r="K5" s="3"/>
      <c r="L5" s="3"/>
    </row>
    <row r="6" spans="1:12">
      <c r="A6" s="35" t="s">
        <v>63</v>
      </c>
      <c r="B6" s="11">
        <v>2936350.9296875</v>
      </c>
      <c r="C6" s="11">
        <v>3344408.27734375</v>
      </c>
      <c r="D6" s="11">
        <v>3832541.046875</v>
      </c>
      <c r="E6" s="75">
        <v>4327967.21484375</v>
      </c>
      <c r="F6" s="75">
        <v>4937430.71484375</v>
      </c>
      <c r="H6" s="3"/>
      <c r="I6" s="3"/>
      <c r="J6" s="3"/>
      <c r="K6" s="3"/>
      <c r="L6" s="3"/>
    </row>
    <row r="7" spans="1:12">
      <c r="A7" s="37" t="s">
        <v>47</v>
      </c>
      <c r="B7" s="11">
        <v>759746.125</v>
      </c>
      <c r="C7" s="11">
        <v>903740.3125</v>
      </c>
      <c r="D7" s="11">
        <v>977515.625</v>
      </c>
      <c r="E7" s="75">
        <v>1237600.25</v>
      </c>
      <c r="F7" s="75">
        <v>1339388.5</v>
      </c>
      <c r="H7" s="3"/>
      <c r="I7" s="3"/>
      <c r="J7" s="3"/>
      <c r="K7" s="3"/>
      <c r="L7" s="3"/>
    </row>
    <row r="8" spans="1:12">
      <c r="A8" s="37" t="s">
        <v>48</v>
      </c>
      <c r="B8" s="11">
        <v>48881.41796875</v>
      </c>
      <c r="C8" s="11">
        <v>14165.611328125</v>
      </c>
      <c r="D8" s="11">
        <v>-20581.49609375</v>
      </c>
      <c r="E8" s="75">
        <v>-23347.609375</v>
      </c>
      <c r="F8" s="75">
        <v>-19473.2890625</v>
      </c>
      <c r="H8" s="3"/>
      <c r="I8" s="3"/>
      <c r="J8" s="3"/>
      <c r="K8" s="3"/>
      <c r="L8" s="3"/>
    </row>
    <row r="9" spans="1:12">
      <c r="A9" s="35" t="s">
        <v>64</v>
      </c>
      <c r="B9" s="42">
        <v>4267040.06640625</v>
      </c>
      <c r="C9" s="42">
        <v>4858379.388671875</v>
      </c>
      <c r="D9" s="42">
        <v>5469732.92578125</v>
      </c>
      <c r="E9" s="42">
        <v>6308249.94921875</v>
      </c>
      <c r="F9" s="42">
        <v>7159359.64453125</v>
      </c>
      <c r="H9" s="3"/>
      <c r="I9" s="3"/>
      <c r="J9" s="3"/>
      <c r="K9" s="3"/>
      <c r="L9" s="3"/>
    </row>
    <row r="10" spans="1:12">
      <c r="A10" s="37" t="s">
        <v>65</v>
      </c>
      <c r="B10" s="11">
        <v>805766</v>
      </c>
      <c r="C10" s="11">
        <v>844424.9375</v>
      </c>
      <c r="D10" s="11">
        <v>861252.0625</v>
      </c>
      <c r="E10" s="75">
        <v>913585.3125</v>
      </c>
      <c r="F10" s="75">
        <v>981521.625</v>
      </c>
      <c r="H10" s="3"/>
      <c r="I10" s="3"/>
      <c r="J10" s="3"/>
      <c r="K10" s="3"/>
      <c r="L10" s="3"/>
    </row>
    <row r="11" spans="1:12">
      <c r="A11" s="40" t="s">
        <v>66</v>
      </c>
      <c r="B11" s="11">
        <v>1446502.125</v>
      </c>
      <c r="C11" s="11">
        <v>1508671.875</v>
      </c>
      <c r="D11" s="11">
        <v>1572220</v>
      </c>
      <c r="E11" s="75">
        <v>1846148.125</v>
      </c>
      <c r="F11" s="75">
        <v>1807417.25</v>
      </c>
      <c r="H11" s="3"/>
      <c r="I11" s="3"/>
      <c r="J11" s="3"/>
      <c r="K11" s="3"/>
      <c r="L11" s="3"/>
    </row>
    <row r="12" spans="1:12" ht="15.6">
      <c r="A12" s="40" t="s">
        <v>77</v>
      </c>
      <c r="B12" s="11">
        <v>99747.65234375</v>
      </c>
      <c r="C12" s="11">
        <v>60639.236328125</v>
      </c>
      <c r="D12" s="11">
        <v>-13325.76953125</v>
      </c>
      <c r="E12" s="75">
        <v>22332.55078125</v>
      </c>
      <c r="F12" s="75">
        <v>-109095.20703125</v>
      </c>
      <c r="H12" s="3"/>
      <c r="I12" s="3"/>
      <c r="J12" s="3"/>
      <c r="K12" s="3"/>
      <c r="L12" s="3"/>
    </row>
    <row r="13" spans="1:12" ht="15" customHeight="1">
      <c r="A13" s="124" t="s">
        <v>26</v>
      </c>
      <c r="B13" s="125">
        <v>3726051.59375</v>
      </c>
      <c r="C13" s="125">
        <v>4254771.6875</v>
      </c>
      <c r="D13" s="125">
        <v>4745439.21875</v>
      </c>
      <c r="E13" s="125">
        <v>5398019.6875</v>
      </c>
      <c r="F13" s="125">
        <v>6224368.8125</v>
      </c>
      <c r="H13" s="3"/>
      <c r="I13" s="3"/>
      <c r="J13" s="3"/>
      <c r="K13" s="3"/>
      <c r="L13" s="3"/>
    </row>
    <row r="14" spans="1:12" ht="15.6">
      <c r="A14" s="44" t="s">
        <v>78</v>
      </c>
      <c r="B14" s="45"/>
      <c r="C14" s="44"/>
      <c r="D14" s="45"/>
      <c r="E14" s="39"/>
      <c r="F14" s="36"/>
      <c r="H14" s="3"/>
      <c r="I14" s="3"/>
      <c r="J14" s="3"/>
      <c r="K14" s="3"/>
      <c r="L14" s="3"/>
    </row>
    <row r="15" spans="1:12">
      <c r="A15" s="6" t="s">
        <v>18</v>
      </c>
      <c r="B15" s="41"/>
      <c r="C15" s="46"/>
      <c r="D15" s="41"/>
      <c r="E15" s="38"/>
      <c r="H15" s="3"/>
      <c r="I15" s="3"/>
      <c r="J15" s="3"/>
      <c r="K15" s="3"/>
      <c r="L15" s="3"/>
    </row>
    <row r="16" spans="1:12" ht="15.6">
      <c r="A16" s="7" t="s">
        <v>76</v>
      </c>
      <c r="B16" s="41"/>
      <c r="C16" s="46"/>
      <c r="D16" s="41"/>
      <c r="E16" s="38"/>
      <c r="H16" s="3"/>
      <c r="I16" s="3"/>
      <c r="J16" s="3"/>
      <c r="K16" s="3"/>
      <c r="L16" s="3"/>
    </row>
    <row r="17" spans="1:12">
      <c r="A17" s="40"/>
      <c r="B17" s="38"/>
      <c r="C17" s="38"/>
      <c r="D17" s="38"/>
      <c r="E17" s="38"/>
      <c r="H17" s="3"/>
      <c r="I17" s="3"/>
      <c r="J17" s="3"/>
      <c r="K17" s="3"/>
      <c r="L17" s="3"/>
    </row>
    <row r="18" spans="1:12">
      <c r="A18" s="120" t="s">
        <v>119</v>
      </c>
      <c r="B18" s="121"/>
      <c r="C18" s="121"/>
      <c r="D18" s="121"/>
      <c r="E18" s="121"/>
      <c r="F18" s="90"/>
      <c r="H18" s="3"/>
      <c r="I18" s="3"/>
      <c r="J18" s="3"/>
      <c r="K18" s="3"/>
      <c r="L18" s="3"/>
    </row>
    <row r="19" spans="1:12">
      <c r="A19" s="88"/>
      <c r="B19" s="93"/>
      <c r="C19" s="93"/>
      <c r="D19" s="93"/>
      <c r="E19" s="93"/>
      <c r="F19" s="93" t="s">
        <v>67</v>
      </c>
      <c r="H19" s="3"/>
      <c r="I19" s="3"/>
      <c r="J19" s="3"/>
      <c r="K19" s="3"/>
      <c r="L19" s="3"/>
    </row>
    <row r="20" spans="1:12">
      <c r="A20" s="122" t="s">
        <v>61</v>
      </c>
      <c r="B20" s="104" t="s">
        <v>112</v>
      </c>
      <c r="C20" s="104" t="s">
        <v>108</v>
      </c>
      <c r="D20" s="104" t="s">
        <v>109</v>
      </c>
      <c r="E20" s="104" t="s">
        <v>110</v>
      </c>
      <c r="F20" s="104" t="s">
        <v>111</v>
      </c>
      <c r="H20" s="3"/>
      <c r="I20" s="3"/>
      <c r="J20" s="3"/>
      <c r="K20" s="3"/>
      <c r="L20" s="3"/>
    </row>
    <row r="21" spans="1:12">
      <c r="A21" s="37" t="s">
        <v>62</v>
      </c>
      <c r="B21" s="110">
        <v>14.011120904114559</v>
      </c>
      <c r="C21" s="24">
        <v>14.009334255259025</v>
      </c>
      <c r="D21" s="24">
        <v>14.334979727739242</v>
      </c>
      <c r="E21" s="24">
        <v>14.190946645190428</v>
      </c>
      <c r="F21" s="24">
        <v>14.491649610134665</v>
      </c>
      <c r="H21" s="3"/>
      <c r="I21" s="3"/>
      <c r="J21" s="3"/>
      <c r="K21" s="3"/>
      <c r="L21" s="3"/>
    </row>
    <row r="22" spans="1:12">
      <c r="A22" s="35" t="s">
        <v>63</v>
      </c>
      <c r="B22" s="110">
        <v>78.805965398140827</v>
      </c>
      <c r="C22" s="24">
        <v>78.603707154703812</v>
      </c>
      <c r="D22" s="24">
        <v>80.762620069645166</v>
      </c>
      <c r="E22" s="24">
        <v>80.176943868246127</v>
      </c>
      <c r="F22" s="24">
        <v>79.324199185116171</v>
      </c>
      <c r="H22" s="3"/>
      <c r="I22" s="3"/>
      <c r="J22" s="3"/>
      <c r="K22" s="3"/>
      <c r="L22" s="3"/>
    </row>
    <row r="23" spans="1:12">
      <c r="A23" s="37" t="s">
        <v>47</v>
      </c>
      <c r="B23" s="110">
        <v>20.390112854969107</v>
      </c>
      <c r="C23" s="24">
        <v>21.240630023817232</v>
      </c>
      <c r="D23" s="24">
        <v>20.599054796396448</v>
      </c>
      <c r="E23" s="24">
        <v>22.926931016310785</v>
      </c>
      <c r="F23" s="24">
        <v>21.51846300158487</v>
      </c>
      <c r="H23" s="3"/>
      <c r="I23" s="3"/>
      <c r="J23" s="3"/>
      <c r="K23" s="3"/>
      <c r="L23" s="3"/>
    </row>
    <row r="24" spans="1:12">
      <c r="A24" s="37" t="s">
        <v>48</v>
      </c>
      <c r="B24" s="110">
        <v>1.3118824777075726</v>
      </c>
      <c r="C24" s="24">
        <v>0.3329346994044789</v>
      </c>
      <c r="D24" s="24">
        <v>-0.43371108858436475</v>
      </c>
      <c r="E24" s="24">
        <v>-0.43252175291366979</v>
      </c>
      <c r="F24" s="24">
        <v>-0.31285564286282402</v>
      </c>
      <c r="H24" s="3"/>
      <c r="I24" s="3"/>
      <c r="J24" s="3"/>
      <c r="K24" s="3"/>
      <c r="L24" s="3"/>
    </row>
    <row r="25" spans="1:12">
      <c r="A25" s="37" t="s">
        <v>64</v>
      </c>
      <c r="B25" s="110">
        <v>114.51908163493208</v>
      </c>
      <c r="C25" s="24">
        <v>114.18660613318457</v>
      </c>
      <c r="D25" s="24">
        <v>115.26294350519647</v>
      </c>
      <c r="E25" s="24">
        <v>116.86229977683367</v>
      </c>
      <c r="F25" s="24">
        <v>115.02145615397288</v>
      </c>
      <c r="H25" s="3"/>
      <c r="I25" s="3"/>
      <c r="J25" s="3"/>
      <c r="K25" s="3"/>
      <c r="L25" s="3"/>
    </row>
    <row r="26" spans="1:12">
      <c r="A26" s="35" t="s">
        <v>65</v>
      </c>
      <c r="B26" s="110">
        <v>21.62519706789822</v>
      </c>
      <c r="C26" s="24">
        <v>19.846539356760726</v>
      </c>
      <c r="D26" s="24">
        <v>18.149048439964279</v>
      </c>
      <c r="E26" s="24">
        <v>16.924453140020155</v>
      </c>
      <c r="F26" s="24">
        <v>15.769014571065796</v>
      </c>
      <c r="H26" s="3"/>
      <c r="I26" s="3"/>
      <c r="J26" s="3"/>
      <c r="K26" s="3"/>
      <c r="L26" s="3"/>
    </row>
    <row r="27" spans="1:12">
      <c r="A27" s="37" t="s">
        <v>66</v>
      </c>
      <c r="B27" s="110">
        <v>38.821312282050307</v>
      </c>
      <c r="C27" s="24">
        <v>35.458350901231519</v>
      </c>
      <c r="D27" s="24">
        <v>33.131179802870591</v>
      </c>
      <c r="E27" s="24">
        <v>34.200470392411845</v>
      </c>
      <c r="F27" s="24">
        <v>29.037759561584465</v>
      </c>
      <c r="H27" s="3"/>
      <c r="I27" s="3"/>
      <c r="J27" s="3"/>
      <c r="K27" s="3"/>
      <c r="L27" s="3"/>
    </row>
    <row r="28" spans="1:12" ht="15.6">
      <c r="A28" s="37" t="s">
        <v>77</v>
      </c>
      <c r="B28" s="110">
        <v>2.6770335792200139</v>
      </c>
      <c r="C28" s="24">
        <v>1.4252054112862431</v>
      </c>
      <c r="D28" s="24">
        <v>-0.28081214229017459</v>
      </c>
      <c r="E28" s="24">
        <v>0.41371747555802152</v>
      </c>
      <c r="F28" s="24">
        <v>-1.7527111634542143</v>
      </c>
      <c r="H28" s="3"/>
      <c r="I28" s="3"/>
      <c r="J28" s="3"/>
      <c r="K28" s="3"/>
      <c r="L28" s="3"/>
    </row>
    <row r="29" spans="1:12">
      <c r="A29" s="124" t="s">
        <v>26</v>
      </c>
      <c r="B29" s="131">
        <v>100</v>
      </c>
      <c r="C29" s="126">
        <v>100</v>
      </c>
      <c r="D29" s="126">
        <v>100.00000000000001</v>
      </c>
      <c r="E29" s="126">
        <v>99.999999999999986</v>
      </c>
      <c r="F29" s="126">
        <v>99.999999999999986</v>
      </c>
    </row>
    <row r="30" spans="1:12" ht="15.6">
      <c r="A30" s="44" t="s">
        <v>79</v>
      </c>
      <c r="B30" s="45"/>
      <c r="C30" s="45"/>
      <c r="D30" s="45"/>
      <c r="E30" s="45"/>
    </row>
    <row r="31" spans="1:12">
      <c r="A31" s="6" t="s">
        <v>18</v>
      </c>
      <c r="B31" s="41"/>
      <c r="C31" s="41"/>
      <c r="D31" s="41"/>
      <c r="E31" s="41"/>
    </row>
    <row r="32" spans="1:12" ht="15.6">
      <c r="A32" s="7" t="s">
        <v>76</v>
      </c>
    </row>
    <row r="34" spans="1:12">
      <c r="A34" s="120" t="s">
        <v>120</v>
      </c>
      <c r="B34" s="121"/>
      <c r="C34" s="121"/>
      <c r="D34" s="82"/>
      <c r="E34" s="82"/>
      <c r="F34" s="90"/>
    </row>
    <row r="35" spans="1:12">
      <c r="A35" s="91"/>
      <c r="B35" s="92"/>
      <c r="F35" s="93" t="s">
        <v>81</v>
      </c>
    </row>
    <row r="36" spans="1:12">
      <c r="A36" s="122" t="s">
        <v>61</v>
      </c>
      <c r="B36" s="104" t="s">
        <v>112</v>
      </c>
      <c r="C36" s="104" t="s">
        <v>108</v>
      </c>
      <c r="D36" s="104" t="s">
        <v>109</v>
      </c>
      <c r="E36" s="104" t="s">
        <v>110</v>
      </c>
      <c r="F36" s="104" t="s">
        <v>111</v>
      </c>
    </row>
    <row r="37" spans="1:12">
      <c r="A37" s="35" t="s">
        <v>62</v>
      </c>
      <c r="B37" s="129">
        <v>470187.9375</v>
      </c>
      <c r="C37" s="42">
        <v>504667.46875</v>
      </c>
      <c r="D37" s="42">
        <v>532641.9375</v>
      </c>
      <c r="E37" s="42">
        <v>564479.21875</v>
      </c>
      <c r="F37" s="42">
        <v>651542.03125</v>
      </c>
      <c r="H37" s="3"/>
      <c r="I37" s="3"/>
      <c r="J37" s="3"/>
      <c r="K37" s="3"/>
      <c r="L37" s="3"/>
    </row>
    <row r="38" spans="1:12">
      <c r="A38" s="37" t="s">
        <v>63</v>
      </c>
      <c r="B38" s="127">
        <v>2494486.50390625</v>
      </c>
      <c r="C38" s="11">
        <v>2636607.91796875</v>
      </c>
      <c r="D38" s="11">
        <v>2859434.625</v>
      </c>
      <c r="E38" s="11">
        <v>2990470.27734375</v>
      </c>
      <c r="F38" s="11">
        <v>3147789.52734375</v>
      </c>
      <c r="H38" s="3"/>
      <c r="I38" s="3"/>
      <c r="J38" s="3"/>
      <c r="K38" s="3"/>
      <c r="L38" s="3"/>
    </row>
    <row r="39" spans="1:12">
      <c r="A39" s="37" t="s">
        <v>47</v>
      </c>
      <c r="B39" s="127">
        <v>632010.3125</v>
      </c>
      <c r="C39" s="11">
        <v>712002.1875</v>
      </c>
      <c r="D39" s="11">
        <v>720850</v>
      </c>
      <c r="E39" s="11">
        <v>827332.0625</v>
      </c>
      <c r="F39" s="11">
        <v>870046.3125</v>
      </c>
      <c r="H39" s="3"/>
      <c r="I39" s="3"/>
      <c r="J39" s="3"/>
      <c r="K39" s="3"/>
      <c r="L39" s="3"/>
    </row>
    <row r="40" spans="1:12">
      <c r="A40" s="37" t="s">
        <v>68</v>
      </c>
      <c r="B40" s="128">
        <v>25063.3359375</v>
      </c>
      <c r="C40" s="43">
        <v>8967.9736328125</v>
      </c>
      <c r="D40" s="43">
        <v>-8956.892578125</v>
      </c>
      <c r="E40" s="43">
        <v>-33334.703125</v>
      </c>
      <c r="F40" s="11">
        <v>-53611.57421875</v>
      </c>
      <c r="H40" s="3"/>
      <c r="I40" s="3"/>
      <c r="J40" s="3"/>
      <c r="K40" s="3"/>
      <c r="L40" s="3"/>
    </row>
    <row r="41" spans="1:12">
      <c r="A41" s="35" t="s">
        <v>64</v>
      </c>
      <c r="B41" s="129">
        <v>3621748.08984375</v>
      </c>
      <c r="C41" s="42">
        <v>3862245.5478515625</v>
      </c>
      <c r="D41" s="42">
        <v>4103969.669921875</v>
      </c>
      <c r="E41" s="42">
        <v>4348946.85546875</v>
      </c>
      <c r="F41" s="42">
        <v>4615766.296875</v>
      </c>
      <c r="H41" s="3"/>
      <c r="I41" s="3"/>
      <c r="J41" s="3"/>
      <c r="K41" s="3"/>
      <c r="L41" s="3"/>
    </row>
    <row r="42" spans="1:12">
      <c r="A42" s="37" t="s">
        <v>65</v>
      </c>
      <c r="B42" s="127">
        <v>681288.5625</v>
      </c>
      <c r="C42" s="11">
        <v>679828.1875</v>
      </c>
      <c r="D42" s="11">
        <v>682965.6875</v>
      </c>
      <c r="E42" s="11">
        <v>718988.8125</v>
      </c>
      <c r="F42" s="11">
        <v>712782.6875</v>
      </c>
      <c r="H42" s="3"/>
      <c r="I42" s="3"/>
      <c r="J42" s="3"/>
      <c r="K42" s="3"/>
      <c r="L42" s="3"/>
    </row>
    <row r="43" spans="1:12">
      <c r="A43" s="37" t="s">
        <v>66</v>
      </c>
      <c r="B43" s="127">
        <v>1080897.125</v>
      </c>
      <c r="C43" s="11">
        <v>1138899.375</v>
      </c>
      <c r="D43" s="11">
        <v>1129883.625</v>
      </c>
      <c r="E43" s="11">
        <v>1249353.375</v>
      </c>
      <c r="F43" s="11">
        <v>1234758.75</v>
      </c>
      <c r="H43" s="3"/>
      <c r="I43" s="3"/>
      <c r="J43" s="3"/>
      <c r="K43" s="3"/>
      <c r="L43" s="3"/>
    </row>
    <row r="44" spans="1:12" ht="15.6">
      <c r="A44" s="37" t="s">
        <v>77</v>
      </c>
      <c r="B44" s="128">
        <v>72314.37890625</v>
      </c>
      <c r="C44" s="43">
        <v>37957.6396484375</v>
      </c>
      <c r="D44" s="43">
        <v>-16895.951171875</v>
      </c>
      <c r="E44" s="43">
        <v>15661.98828125</v>
      </c>
      <c r="F44" s="11">
        <v>-42941.953125</v>
      </c>
      <c r="H44" s="3"/>
      <c r="I44" s="3"/>
      <c r="J44" s="3"/>
      <c r="K44" s="3"/>
      <c r="L44" s="3"/>
    </row>
    <row r="45" spans="1:12">
      <c r="A45" s="124" t="s">
        <v>26</v>
      </c>
      <c r="B45" s="130">
        <v>3294453.90625</v>
      </c>
      <c r="C45" s="125">
        <v>3441132</v>
      </c>
      <c r="D45" s="125">
        <v>3640155.78125</v>
      </c>
      <c r="E45" s="125">
        <v>3834244.28125</v>
      </c>
      <c r="F45" s="125">
        <v>4050848.28125</v>
      </c>
      <c r="H45" s="3"/>
      <c r="I45" s="3"/>
      <c r="J45" s="3"/>
      <c r="K45" s="3"/>
      <c r="L45" s="3"/>
    </row>
    <row r="46" spans="1:12" ht="15.6">
      <c r="A46" s="123" t="s">
        <v>78</v>
      </c>
      <c r="B46" s="47"/>
      <c r="C46" s="47"/>
      <c r="D46" s="47"/>
      <c r="E46" s="47"/>
    </row>
    <row r="47" spans="1:12">
      <c r="A47" s="6" t="s">
        <v>18</v>
      </c>
      <c r="B47" s="47"/>
      <c r="C47" s="47"/>
      <c r="D47" s="47"/>
      <c r="E47" s="47"/>
    </row>
    <row r="48" spans="1:12" ht="15.6">
      <c r="A48" s="7" t="s">
        <v>76</v>
      </c>
    </row>
  </sheetData>
  <pageMargins left="1.1299999999999999" right="0.47" top="0.18" bottom="0.47" header="0.13" footer="0.23"/>
  <pageSetup paperSize="9" firstPageNumber="58" orientation="portrait" useFirstPageNumber="1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showGridLines="0" view="pageBreakPreview" topLeftCell="A27" zoomScaleSheetLayoutView="100" workbookViewId="0">
      <selection activeCell="A39" sqref="A39"/>
    </sheetView>
  </sheetViews>
  <sheetFormatPr defaultRowHeight="14.4"/>
  <cols>
    <col min="1" max="1" width="29" style="6" customWidth="1"/>
    <col min="2" max="2" width="9.5546875" style="6" bestFit="1" customWidth="1"/>
    <col min="3" max="3" width="9.88671875" style="6" bestFit="1" customWidth="1"/>
    <col min="4" max="4" width="10.44140625" style="6" bestFit="1" customWidth="1"/>
    <col min="5" max="5" width="10.44140625" style="6" customWidth="1"/>
    <col min="6" max="6" width="10.44140625" style="6" bestFit="1" customWidth="1"/>
    <col min="7" max="11" width="11.5546875" bestFit="1" customWidth="1"/>
  </cols>
  <sheetData>
    <row r="1" spans="1:11">
      <c r="A1" s="79" t="s">
        <v>106</v>
      </c>
      <c r="B1" s="80"/>
      <c r="C1" s="80"/>
      <c r="D1" s="80"/>
      <c r="E1" s="80"/>
      <c r="F1" s="80"/>
    </row>
    <row r="2" spans="1:11">
      <c r="A2" s="84" t="s">
        <v>114</v>
      </c>
      <c r="B2" s="82"/>
      <c r="C2" s="82"/>
      <c r="D2" s="82"/>
      <c r="E2" s="82"/>
      <c r="F2" s="82"/>
    </row>
    <row r="3" spans="1:11">
      <c r="A3" s="85"/>
      <c r="B3" s="86"/>
      <c r="C3" s="86"/>
      <c r="D3" s="86"/>
      <c r="E3" s="86"/>
      <c r="F3" s="87" t="s">
        <v>60</v>
      </c>
    </row>
    <row r="4" spans="1:11">
      <c r="A4" s="136" t="s">
        <v>69</v>
      </c>
      <c r="B4" s="104" t="s">
        <v>112</v>
      </c>
      <c r="C4" s="104" t="s">
        <v>108</v>
      </c>
      <c r="D4" s="104" t="s">
        <v>109</v>
      </c>
      <c r="E4" s="104" t="s">
        <v>110</v>
      </c>
      <c r="F4" s="104" t="s">
        <v>111</v>
      </c>
    </row>
    <row r="5" spans="1:11">
      <c r="A5" s="48" t="s">
        <v>70</v>
      </c>
      <c r="B5" s="127">
        <v>382622.3984375</v>
      </c>
      <c r="C5" s="11">
        <v>450058.125</v>
      </c>
      <c r="D5" s="73">
        <v>501982.1171875</v>
      </c>
      <c r="E5" s="11">
        <v>590157.90625</v>
      </c>
      <c r="F5" s="11">
        <v>667503.4375</v>
      </c>
    </row>
    <row r="6" spans="1:11">
      <c r="A6" s="49" t="s">
        <v>71</v>
      </c>
      <c r="B6" s="127">
        <v>141482.15625</v>
      </c>
      <c r="C6" s="11">
        <v>180070.875</v>
      </c>
      <c r="D6" s="73">
        <v>181604</v>
      </c>
      <c r="E6" s="11">
        <v>299459.8125</v>
      </c>
      <c r="F6" s="11">
        <v>302856.0625</v>
      </c>
      <c r="G6" s="5"/>
      <c r="H6" s="5"/>
      <c r="I6" s="5"/>
      <c r="J6" s="5"/>
      <c r="K6" s="5"/>
    </row>
    <row r="7" spans="1:11">
      <c r="A7" s="49" t="s">
        <v>72</v>
      </c>
      <c r="B7" s="127">
        <v>206724.5859375</v>
      </c>
      <c r="C7" s="11">
        <v>236655.76953125</v>
      </c>
      <c r="D7" s="73">
        <v>255849.34375</v>
      </c>
      <c r="E7" s="11">
        <v>307036.875</v>
      </c>
      <c r="F7" s="11">
        <v>325054.6953125</v>
      </c>
      <c r="G7" s="5"/>
      <c r="H7" s="5"/>
      <c r="I7" s="5"/>
      <c r="J7" s="5"/>
      <c r="K7" s="5"/>
    </row>
    <row r="8" spans="1:11">
      <c r="A8" s="49" t="s">
        <v>73</v>
      </c>
      <c r="B8" s="127">
        <v>11319.2421875</v>
      </c>
      <c r="C8" s="11">
        <v>13255.46923828125</v>
      </c>
      <c r="D8" s="73">
        <v>15697.9267578125</v>
      </c>
      <c r="E8" s="11">
        <v>16141.0908203125</v>
      </c>
      <c r="F8" s="11">
        <v>14813.48193359375</v>
      </c>
      <c r="G8" s="5"/>
      <c r="H8" s="5"/>
      <c r="I8" s="5"/>
      <c r="J8" s="5"/>
      <c r="K8" s="5"/>
    </row>
    <row r="9" spans="1:11">
      <c r="A9" s="49" t="s">
        <v>74</v>
      </c>
      <c r="B9" s="127">
        <v>17597.744140625</v>
      </c>
      <c r="C9" s="11">
        <v>23700.09765625</v>
      </c>
      <c r="D9" s="73">
        <v>22382.25390625</v>
      </c>
      <c r="E9" s="11">
        <v>24804.6171875</v>
      </c>
      <c r="F9" s="11">
        <v>29160.830078125</v>
      </c>
      <c r="G9" s="5"/>
      <c r="H9" s="5"/>
      <c r="I9" s="5"/>
      <c r="J9" s="5"/>
      <c r="K9" s="5"/>
    </row>
    <row r="10" spans="1:11">
      <c r="A10" s="137" t="s">
        <v>46</v>
      </c>
      <c r="B10" s="130">
        <v>759746.126953125</v>
      </c>
      <c r="C10" s="125">
        <v>903740.33642578125</v>
      </c>
      <c r="D10" s="125">
        <v>977515.6416015625</v>
      </c>
      <c r="E10" s="125">
        <v>1237600.3017578125</v>
      </c>
      <c r="F10" s="125">
        <v>1339388.5073242188</v>
      </c>
      <c r="G10" s="5"/>
      <c r="H10" s="5"/>
      <c r="I10" s="5"/>
      <c r="J10" s="5"/>
      <c r="K10" s="5"/>
    </row>
    <row r="11" spans="1:11">
      <c r="A11" s="6" t="s">
        <v>18</v>
      </c>
      <c r="B11" s="48"/>
      <c r="C11" s="48"/>
      <c r="D11" s="48"/>
      <c r="E11" s="48"/>
      <c r="F11" s="48"/>
      <c r="G11" s="5"/>
      <c r="H11" s="5"/>
      <c r="I11" s="5"/>
      <c r="J11" s="5"/>
      <c r="K11" s="5"/>
    </row>
    <row r="12" spans="1:11" ht="15.6">
      <c r="A12" s="7" t="s">
        <v>76</v>
      </c>
      <c r="B12" s="1"/>
      <c r="C12" s="1"/>
      <c r="D12" s="1"/>
      <c r="E12" s="1"/>
      <c r="F12" s="1"/>
    </row>
    <row r="14" spans="1:11">
      <c r="A14" s="84" t="s">
        <v>115</v>
      </c>
      <c r="B14" s="82"/>
      <c r="C14" s="82"/>
      <c r="D14" s="82"/>
      <c r="E14" s="82"/>
      <c r="F14" s="82"/>
    </row>
    <row r="15" spans="1:11">
      <c r="A15" s="85"/>
      <c r="B15" s="86"/>
      <c r="C15" s="86"/>
      <c r="D15" s="86"/>
      <c r="E15" s="82"/>
      <c r="F15" s="147" t="s">
        <v>67</v>
      </c>
    </row>
    <row r="16" spans="1:11">
      <c r="A16" s="136" t="s">
        <v>61</v>
      </c>
      <c r="B16" s="104" t="s">
        <v>112</v>
      </c>
      <c r="C16" s="104" t="s">
        <v>108</v>
      </c>
      <c r="D16" s="104" t="s">
        <v>109</v>
      </c>
      <c r="E16" s="104" t="s">
        <v>110</v>
      </c>
      <c r="F16" s="104" t="s">
        <v>111</v>
      </c>
    </row>
    <row r="17" spans="1:11">
      <c r="A17" s="48" t="s">
        <v>70</v>
      </c>
      <c r="B17" s="142">
        <f>B5/$B$10*100</f>
        <v>50.361875482269767</v>
      </c>
      <c r="C17" s="10">
        <f>C5/$C$10*100</f>
        <v>49.799495149230907</v>
      </c>
      <c r="D17" s="10">
        <f>D5/$D$10*100</f>
        <v>51.352847547794944</v>
      </c>
      <c r="E17" s="10">
        <f>E5/$E$10*100</f>
        <v>47.685662762991853</v>
      </c>
      <c r="F17" s="10">
        <f>F5/$F$10*100</f>
        <v>49.836431614118737</v>
      </c>
      <c r="G17" s="4"/>
      <c r="H17" s="4"/>
      <c r="I17" s="4"/>
      <c r="J17" s="4"/>
      <c r="K17" s="4"/>
    </row>
    <row r="18" spans="1:11">
      <c r="A18" s="49" t="s">
        <v>71</v>
      </c>
      <c r="B18" s="142">
        <f t="shared" ref="B18:B21" si="0">B6/$B$10*100</f>
        <v>18.622293846682446</v>
      </c>
      <c r="C18" s="10">
        <f t="shared" ref="C18:C21" si="1">C6/$C$10*100</f>
        <v>19.925067825584229</v>
      </c>
      <c r="D18" s="10">
        <f t="shared" ref="D18:D21" si="2">D6/$D$10*100</f>
        <v>18.578117041939077</v>
      </c>
      <c r="E18" s="10">
        <f t="shared" ref="E18:E21" si="3">E6/$E$10*100</f>
        <v>24.196811529107208</v>
      </c>
      <c r="F18" s="10">
        <f t="shared" ref="F18:F21" si="4">F6/$F$10*100</f>
        <v>22.611517184437751</v>
      </c>
      <c r="G18" s="4"/>
      <c r="H18" s="4"/>
      <c r="I18" s="4"/>
      <c r="J18" s="4"/>
      <c r="K18" s="4"/>
    </row>
    <row r="19" spans="1:11">
      <c r="A19" s="49" t="s">
        <v>72</v>
      </c>
      <c r="B19" s="142">
        <f t="shared" si="0"/>
        <v>27.209692633320202</v>
      </c>
      <c r="C19" s="10">
        <f t="shared" si="1"/>
        <v>26.186257268011754</v>
      </c>
      <c r="D19" s="10">
        <f t="shared" si="2"/>
        <v>26.173427090211693</v>
      </c>
      <c r="E19" s="10">
        <f t="shared" si="3"/>
        <v>24.809049784805598</v>
      </c>
      <c r="F19" s="10">
        <f t="shared" si="4"/>
        <v>24.268887894363253</v>
      </c>
      <c r="G19" s="4"/>
      <c r="H19" s="4"/>
      <c r="I19" s="4"/>
      <c r="J19" s="4"/>
      <c r="K19" s="4"/>
    </row>
    <row r="20" spans="1:11">
      <c r="A20" s="49" t="s">
        <v>73</v>
      </c>
      <c r="B20" s="142">
        <f t="shared" si="0"/>
        <v>1.4898716539555821</v>
      </c>
      <c r="C20" s="10">
        <f t="shared" si="1"/>
        <v>1.4667342713400999</v>
      </c>
      <c r="D20" s="10">
        <f t="shared" si="2"/>
        <v>1.6059003139932373</v>
      </c>
      <c r="E20" s="10">
        <f t="shared" si="3"/>
        <v>1.3042248614020757</v>
      </c>
      <c r="F20" s="10">
        <f t="shared" si="4"/>
        <v>1.1059884307345285</v>
      </c>
      <c r="G20" s="4"/>
      <c r="H20" s="4"/>
      <c r="I20" s="4"/>
      <c r="J20" s="4"/>
      <c r="K20" s="4"/>
    </row>
    <row r="21" spans="1:11">
      <c r="A21" s="49" t="s">
        <v>74</v>
      </c>
      <c r="B21" s="142">
        <f t="shared" si="0"/>
        <v>2.3162663837720032</v>
      </c>
      <c r="C21" s="10">
        <f t="shared" si="1"/>
        <v>2.6224454858330146</v>
      </c>
      <c r="D21" s="10">
        <f t="shared" si="2"/>
        <v>2.2897080060610482</v>
      </c>
      <c r="E21" s="10">
        <f t="shared" si="3"/>
        <v>2.0042510616932643</v>
      </c>
      <c r="F21" s="10">
        <f t="shared" si="4"/>
        <v>2.1771748763457315</v>
      </c>
      <c r="G21" s="4"/>
      <c r="H21" s="4"/>
      <c r="I21" s="4"/>
      <c r="J21" s="4"/>
      <c r="K21" s="4"/>
    </row>
    <row r="22" spans="1:11">
      <c r="A22" s="138" t="s">
        <v>46</v>
      </c>
      <c r="B22" s="143">
        <v>100.00000000000001</v>
      </c>
      <c r="C22" s="139">
        <v>100.00000000000001</v>
      </c>
      <c r="D22" s="140">
        <v>99.999999999999986</v>
      </c>
      <c r="E22" s="139">
        <v>100</v>
      </c>
      <c r="F22" s="139">
        <v>100</v>
      </c>
      <c r="G22" s="4"/>
      <c r="H22" s="4"/>
      <c r="I22" s="4"/>
      <c r="J22" s="4"/>
      <c r="K22" s="4"/>
    </row>
    <row r="23" spans="1:11">
      <c r="A23" s="6" t="s">
        <v>18</v>
      </c>
      <c r="B23" s="76"/>
      <c r="C23" s="76"/>
      <c r="D23" s="76"/>
      <c r="E23" s="76"/>
      <c r="F23" s="76"/>
    </row>
    <row r="24" spans="1:11" ht="15.6">
      <c r="A24" s="7" t="s">
        <v>76</v>
      </c>
    </row>
    <row r="26" spans="1:11">
      <c r="A26" s="84" t="s">
        <v>116</v>
      </c>
      <c r="B26" s="84"/>
      <c r="C26" s="84"/>
      <c r="D26" s="84"/>
      <c r="E26" s="84"/>
      <c r="F26" s="82"/>
    </row>
    <row r="27" spans="1:11">
      <c r="A27" s="132"/>
      <c r="B27" s="133"/>
      <c r="C27" s="133"/>
      <c r="D27" s="133"/>
      <c r="E27" s="133"/>
      <c r="F27" s="146" t="s">
        <v>81</v>
      </c>
    </row>
    <row r="28" spans="1:11">
      <c r="A28" s="135" t="s">
        <v>69</v>
      </c>
      <c r="B28" s="104" t="s">
        <v>112</v>
      </c>
      <c r="C28" s="104" t="s">
        <v>108</v>
      </c>
      <c r="D28" s="104" t="s">
        <v>109</v>
      </c>
      <c r="E28" s="104" t="s">
        <v>110</v>
      </c>
      <c r="F28" s="104" t="s">
        <v>111</v>
      </c>
    </row>
    <row r="29" spans="1:11">
      <c r="A29" s="51" t="s">
        <v>70</v>
      </c>
      <c r="B29" s="127">
        <v>324230.1875</v>
      </c>
      <c r="C29" s="11">
        <v>372099.2890625</v>
      </c>
      <c r="D29" s="73">
        <v>399576.890625</v>
      </c>
      <c r="E29" s="11">
        <v>442984.0546875</v>
      </c>
      <c r="F29" s="11">
        <v>494224.109375</v>
      </c>
    </row>
    <row r="30" spans="1:11">
      <c r="A30" s="52" t="s">
        <v>71</v>
      </c>
      <c r="B30" s="127">
        <v>134784.484375</v>
      </c>
      <c r="C30" s="11">
        <v>135005.046875</v>
      </c>
      <c r="D30" s="73">
        <v>136514.625</v>
      </c>
      <c r="E30" s="11">
        <v>225976.21875</v>
      </c>
      <c r="F30" s="11">
        <v>218524.515625</v>
      </c>
    </row>
    <row r="31" spans="1:11">
      <c r="A31" s="52" t="s">
        <v>72</v>
      </c>
      <c r="B31" s="127">
        <v>147983.484375</v>
      </c>
      <c r="C31" s="11">
        <v>175707.5078125</v>
      </c>
      <c r="D31" s="73">
        <v>155095.25390625</v>
      </c>
      <c r="E31" s="11">
        <v>127219.3359375</v>
      </c>
      <c r="F31" s="11">
        <v>123647</v>
      </c>
    </row>
    <row r="32" spans="1:11">
      <c r="A32" s="52" t="s">
        <v>73</v>
      </c>
      <c r="B32" s="127">
        <v>9687.56884765625</v>
      </c>
      <c r="C32" s="11">
        <v>10183.2109375</v>
      </c>
      <c r="D32" s="11">
        <v>11351.3330078125</v>
      </c>
      <c r="E32" s="11">
        <v>10916.095703125</v>
      </c>
      <c r="F32" s="11">
        <v>9756.6162109375</v>
      </c>
    </row>
    <row r="33" spans="1:6">
      <c r="A33" s="52" t="s">
        <v>74</v>
      </c>
      <c r="B33" s="127">
        <v>15324.5966796875</v>
      </c>
      <c r="C33" s="11">
        <v>19007.109375</v>
      </c>
      <c r="D33" s="11">
        <v>18311.931640625</v>
      </c>
      <c r="E33" s="11">
        <v>20236.328125</v>
      </c>
      <c r="F33" s="11">
        <v>23894.0703125</v>
      </c>
    </row>
    <row r="34" spans="1:6">
      <c r="A34" s="141" t="s">
        <v>46</v>
      </c>
      <c r="B34" s="130">
        <v>632010.32177734375</v>
      </c>
      <c r="C34" s="125">
        <v>712002.1640625</v>
      </c>
      <c r="D34" s="125">
        <v>720850.0341796875</v>
      </c>
      <c r="E34" s="125">
        <v>827332.033203125</v>
      </c>
      <c r="F34" s="125">
        <v>870046.3115234375</v>
      </c>
    </row>
    <row r="35" spans="1:6">
      <c r="A35" s="6" t="s">
        <v>18</v>
      </c>
      <c r="B35" s="51"/>
      <c r="C35" s="51"/>
      <c r="D35" s="51"/>
      <c r="E35" s="51"/>
      <c r="F35" s="51"/>
    </row>
    <row r="36" spans="1:6" ht="15.6">
      <c r="A36" s="7" t="s">
        <v>76</v>
      </c>
    </row>
    <row r="38" spans="1:6">
      <c r="A38" s="84" t="s">
        <v>117</v>
      </c>
      <c r="B38" s="84"/>
      <c r="C38" s="84"/>
      <c r="D38" s="84"/>
      <c r="E38" s="84"/>
      <c r="F38" s="82"/>
    </row>
    <row r="39" spans="1:6">
      <c r="A39" s="132"/>
      <c r="B39" s="134"/>
      <c r="C39" s="134"/>
      <c r="D39" s="134"/>
      <c r="E39" s="134"/>
      <c r="F39" s="147" t="s">
        <v>107</v>
      </c>
    </row>
    <row r="40" spans="1:6">
      <c r="A40" s="135" t="s">
        <v>61</v>
      </c>
      <c r="B40" s="104" t="s">
        <v>112</v>
      </c>
      <c r="C40" s="104" t="s">
        <v>108</v>
      </c>
      <c r="D40" s="104" t="s">
        <v>109</v>
      </c>
      <c r="E40" s="104" t="s">
        <v>110</v>
      </c>
      <c r="F40" s="104" t="s">
        <v>111</v>
      </c>
    </row>
    <row r="41" spans="1:6">
      <c r="A41" s="51" t="s">
        <v>70</v>
      </c>
      <c r="B41" s="144">
        <v>8.49746056272771</v>
      </c>
      <c r="C41" s="74">
        <f>C29/B29*100-100</f>
        <v>14.763924954551015</v>
      </c>
      <c r="D41" s="74">
        <f t="shared" ref="D41:F41" si="5">D29/C29*100-100</f>
        <v>7.3844810700201862</v>
      </c>
      <c r="E41" s="74">
        <f t="shared" si="5"/>
        <v>10.86328190666994</v>
      </c>
      <c r="F41" s="74">
        <f t="shared" si="5"/>
        <v>11.567020109481589</v>
      </c>
    </row>
    <row r="42" spans="1:6">
      <c r="A42" s="52" t="s">
        <v>71</v>
      </c>
      <c r="B42" s="145">
        <v>9.9217759548253497</v>
      </c>
      <c r="C42" s="74">
        <f t="shared" ref="C42:F42" si="6">C30/B30*100-100</f>
        <v>0.16364086788087207</v>
      </c>
      <c r="D42" s="74">
        <f t="shared" si="6"/>
        <v>1.1181642167775578</v>
      </c>
      <c r="E42" s="74">
        <f t="shared" si="6"/>
        <v>65.53260777004661</v>
      </c>
      <c r="F42" s="74">
        <f t="shared" si="6"/>
        <v>-3.2975607637916511</v>
      </c>
    </row>
    <row r="43" spans="1:6">
      <c r="A43" s="52" t="s">
        <v>72</v>
      </c>
      <c r="B43" s="142">
        <v>-8.4554858496252621</v>
      </c>
      <c r="C43" s="74">
        <f t="shared" ref="C43:F43" si="7">C31/B31*100-100</f>
        <v>18.734538894384656</v>
      </c>
      <c r="D43" s="74">
        <f t="shared" si="7"/>
        <v>-11.731003508538535</v>
      </c>
      <c r="E43" s="74">
        <f t="shared" si="7"/>
        <v>-17.973417797555612</v>
      </c>
      <c r="F43" s="74">
        <f t="shared" si="7"/>
        <v>-2.8080133504666378</v>
      </c>
    </row>
    <row r="44" spans="1:6">
      <c r="A44" s="52" t="s">
        <v>73</v>
      </c>
      <c r="B44" s="142">
        <v>-4.8239065296812242</v>
      </c>
      <c r="C44" s="74">
        <f t="shared" ref="C44:F44" si="8">C32/B32*100-100</f>
        <v>5.1162690829666957</v>
      </c>
      <c r="D44" s="74">
        <f t="shared" si="8"/>
        <v>11.47105836736479</v>
      </c>
      <c r="E44" s="74">
        <f t="shared" si="8"/>
        <v>-3.8342395944859504</v>
      </c>
      <c r="F44" s="74">
        <f t="shared" si="8"/>
        <v>-10.62174172635342</v>
      </c>
    </row>
    <row r="45" spans="1:6">
      <c r="A45" s="52" t="s">
        <v>74</v>
      </c>
      <c r="B45" s="145">
        <v>36.082542797259805</v>
      </c>
      <c r="C45" s="74">
        <f t="shared" ref="C45:F45" si="9">C33/B33*100-100</f>
        <v>24.030079044061296</v>
      </c>
      <c r="D45" s="74">
        <f t="shared" si="9"/>
        <v>-3.6574616405867886</v>
      </c>
      <c r="E45" s="74">
        <f t="shared" si="9"/>
        <v>10.508975907848679</v>
      </c>
      <c r="F45" s="74">
        <f t="shared" si="9"/>
        <v>18.075127883408953</v>
      </c>
    </row>
    <row r="46" spans="1:6">
      <c r="A46" s="141" t="s">
        <v>46</v>
      </c>
      <c r="B46" s="143">
        <v>4.5427981369194299</v>
      </c>
      <c r="C46" s="139">
        <f t="shared" ref="C46:F46" si="10">C34/B34*100-100</f>
        <v>12.656730361650204</v>
      </c>
      <c r="D46" s="139">
        <f t="shared" si="10"/>
        <v>1.2426746102432986</v>
      </c>
      <c r="E46" s="139">
        <f t="shared" si="10"/>
        <v>14.771726985434896</v>
      </c>
      <c r="F46" s="139">
        <f t="shared" si="10"/>
        <v>5.1628942922636014</v>
      </c>
    </row>
    <row r="47" spans="1:6">
      <c r="A47" s="6" t="s">
        <v>18</v>
      </c>
      <c r="B47" s="50"/>
      <c r="C47" s="50"/>
      <c r="D47" s="50"/>
      <c r="E47" s="50"/>
      <c r="F47" s="50"/>
    </row>
    <row r="48" spans="1:6" ht="15.6">
      <c r="A48" s="7" t="s">
        <v>76</v>
      </c>
    </row>
  </sheetData>
  <pageMargins left="1.25" right="0.75" top="0.17" bottom="0.46" header="0.14000000000000001" footer="0.23"/>
  <pageSetup paperSize="9" scale="99" firstPageNumber="59" orientation="portrait" useFirstPageNumber="1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view="pageBreakPreview" zoomScaleSheetLayoutView="100" workbookViewId="0">
      <selection activeCell="B3" sqref="B3:F3"/>
    </sheetView>
  </sheetViews>
  <sheetFormatPr defaultColWidth="10.44140625" defaultRowHeight="13.8"/>
  <cols>
    <col min="1" max="1" width="35" style="6" customWidth="1"/>
    <col min="2" max="2" width="10.44140625" style="6" customWidth="1"/>
    <col min="3" max="3" width="11.44140625" style="6" customWidth="1"/>
    <col min="4" max="5" width="10.5546875" style="6" customWidth="1"/>
    <col min="6" max="6" width="10.44140625" style="6" customWidth="1"/>
    <col min="7" max="16384" width="10.44140625" style="6"/>
  </cols>
  <sheetData>
    <row r="1" spans="1:6">
      <c r="A1" s="79" t="s">
        <v>106</v>
      </c>
      <c r="B1" s="80"/>
      <c r="C1" s="80"/>
      <c r="D1" s="80"/>
      <c r="E1" s="80"/>
      <c r="F1" s="80"/>
    </row>
    <row r="2" spans="1:6">
      <c r="A2" s="148" t="s">
        <v>105</v>
      </c>
      <c r="B2" s="149"/>
      <c r="C2" s="149"/>
      <c r="D2" s="149"/>
      <c r="E2" s="150"/>
      <c r="F2" s="150" t="s">
        <v>102</v>
      </c>
    </row>
    <row r="3" spans="1:6">
      <c r="A3" s="151"/>
      <c r="B3" s="104" t="s">
        <v>112</v>
      </c>
      <c r="C3" s="104" t="s">
        <v>108</v>
      </c>
      <c r="D3" s="104" t="s">
        <v>109</v>
      </c>
      <c r="E3" s="104" t="s">
        <v>110</v>
      </c>
      <c r="F3" s="104" t="s">
        <v>111</v>
      </c>
    </row>
    <row r="4" spans="1:6">
      <c r="A4" s="152" t="s">
        <v>19</v>
      </c>
      <c r="B4" s="153"/>
      <c r="C4" s="154"/>
      <c r="D4" s="154"/>
      <c r="E4" s="154"/>
      <c r="F4" s="154"/>
    </row>
    <row r="5" spans="1:6">
      <c r="A5" s="155" t="s">
        <v>20</v>
      </c>
      <c r="B5" s="156">
        <v>1122506.7317015405</v>
      </c>
      <c r="C5" s="155">
        <v>1248409.910299371</v>
      </c>
      <c r="D5" s="155">
        <v>1452841.1637573242</v>
      </c>
      <c r="E5" s="155">
        <v>1694093.9491577148</v>
      </c>
      <c r="F5" s="155">
        <v>1884189.28125</v>
      </c>
    </row>
    <row r="6" spans="1:6">
      <c r="A6" s="155" t="s">
        <v>21</v>
      </c>
      <c r="B6" s="156">
        <v>422395.21474820364</v>
      </c>
      <c r="C6" s="155">
        <v>489507.32344822504</v>
      </c>
      <c r="D6" s="155">
        <v>567840.49311371567</v>
      </c>
      <c r="E6" s="155">
        <v>731737.81286224024</v>
      </c>
      <c r="F6" s="155">
        <v>814704.32759153657</v>
      </c>
    </row>
    <row r="7" spans="1:6">
      <c r="A7" s="155" t="s">
        <v>22</v>
      </c>
      <c r="B7" s="156">
        <v>1803094.3035502555</v>
      </c>
      <c r="C7" s="155">
        <v>2091178.5162524041</v>
      </c>
      <c r="D7" s="155">
        <v>2231124.2835586476</v>
      </c>
      <c r="E7" s="155">
        <v>2446727.7880899082</v>
      </c>
      <c r="F7" s="155">
        <v>2969286.439437272</v>
      </c>
    </row>
    <row r="8" spans="1:6">
      <c r="A8" s="155" t="s">
        <v>58</v>
      </c>
      <c r="B8" s="156">
        <v>377922.125</v>
      </c>
      <c r="C8" s="155">
        <v>432055</v>
      </c>
      <c r="D8" s="155">
        <v>493633.21875</v>
      </c>
      <c r="E8" s="155">
        <v>525460.1875</v>
      </c>
      <c r="F8" s="155">
        <v>556188.8125</v>
      </c>
    </row>
    <row r="9" spans="1:6">
      <c r="A9" s="152" t="s">
        <v>26</v>
      </c>
      <c r="B9" s="157">
        <v>3725918.3749999995</v>
      </c>
      <c r="C9" s="152">
        <v>4261150.75</v>
      </c>
      <c r="D9" s="152">
        <v>4745439.1591796875</v>
      </c>
      <c r="E9" s="152">
        <v>5398019.7376098633</v>
      </c>
      <c r="F9" s="152">
        <v>6224368.8607788086</v>
      </c>
    </row>
    <row r="10" spans="1:6">
      <c r="A10" s="155" t="s">
        <v>27</v>
      </c>
      <c r="B10" s="156"/>
      <c r="C10" s="155"/>
      <c r="D10" s="155"/>
      <c r="E10" s="155"/>
      <c r="F10" s="155"/>
    </row>
    <row r="11" spans="1:6">
      <c r="A11" s="158" t="s">
        <v>28</v>
      </c>
      <c r="B11" s="156">
        <v>25710.066999999999</v>
      </c>
      <c r="C11" s="155">
        <v>17162.634810380223</v>
      </c>
      <c r="D11" s="155">
        <v>28712.400000000001</v>
      </c>
      <c r="E11" s="155">
        <v>27568.2</v>
      </c>
      <c r="F11" s="155">
        <v>30473.200000000001</v>
      </c>
    </row>
    <row r="12" spans="1:6">
      <c r="A12" s="158" t="s">
        <v>29</v>
      </c>
      <c r="B12" s="156">
        <v>-25090.509765625</v>
      </c>
      <c r="C12" s="155">
        <v>-29619.009765625</v>
      </c>
      <c r="D12" s="155">
        <v>-80383.899999999994</v>
      </c>
      <c r="E12" s="155">
        <v>-81255.899999999994</v>
      </c>
      <c r="F12" s="155">
        <v>-80095.5</v>
      </c>
    </row>
    <row r="13" spans="1:6">
      <c r="A13" s="152" t="s">
        <v>30</v>
      </c>
      <c r="B13" s="157">
        <v>3726537.9322343748</v>
      </c>
      <c r="C13" s="152">
        <v>4248694.3750447556</v>
      </c>
      <c r="D13" s="152">
        <v>4693767.6591796875</v>
      </c>
      <c r="E13" s="152">
        <v>5344332.0376098631</v>
      </c>
      <c r="F13" s="152">
        <v>6174746.5607788088</v>
      </c>
    </row>
    <row r="14" spans="1:6">
      <c r="A14" s="155" t="s">
        <v>31</v>
      </c>
      <c r="B14" s="156"/>
      <c r="C14" s="155"/>
      <c r="D14" s="155"/>
      <c r="E14" s="155"/>
      <c r="F14" s="155"/>
    </row>
    <row r="15" spans="1:6">
      <c r="A15" s="158" t="s">
        <v>28</v>
      </c>
      <c r="B15" s="156">
        <v>279617.48500198399</v>
      </c>
      <c r="C15" s="155">
        <v>240850.47168320001</v>
      </c>
      <c r="D15" s="155">
        <v>268925.2</v>
      </c>
      <c r="E15" s="155">
        <v>327853.40000000002</v>
      </c>
      <c r="F15" s="155">
        <v>343203.3</v>
      </c>
    </row>
    <row r="16" spans="1:6">
      <c r="A16" s="158" t="s">
        <v>29</v>
      </c>
      <c r="B16" s="156">
        <v>-4120.8873000000003</v>
      </c>
      <c r="C16" s="155">
        <v>-3351.9115999999999</v>
      </c>
      <c r="D16" s="155">
        <v>-4020.2345399999999</v>
      </c>
      <c r="E16" s="155">
        <v>-17853.062293999999</v>
      </c>
      <c r="F16" s="155">
        <v>-6248.4357419999997</v>
      </c>
    </row>
    <row r="17" spans="1:6">
      <c r="A17" s="152" t="s">
        <v>32</v>
      </c>
      <c r="B17" s="157">
        <v>4002034.5299363588</v>
      </c>
      <c r="C17" s="152">
        <v>4486192.9351279559</v>
      </c>
      <c r="D17" s="152">
        <v>4958672.6246396881</v>
      </c>
      <c r="E17" s="152">
        <v>5654332.3753158636</v>
      </c>
      <c r="F17" s="152">
        <v>6511701.4250368085</v>
      </c>
    </row>
    <row r="18" spans="1:6">
      <c r="A18" s="158"/>
      <c r="B18" s="156"/>
      <c r="C18" s="155"/>
      <c r="D18" s="155"/>
      <c r="E18" s="155"/>
      <c r="F18" s="155"/>
    </row>
    <row r="19" spans="1:6">
      <c r="A19" s="152" t="s">
        <v>33</v>
      </c>
      <c r="B19" s="159"/>
      <c r="C19" s="160"/>
      <c r="D19" s="160"/>
      <c r="E19" s="160"/>
      <c r="F19" s="160"/>
    </row>
    <row r="20" spans="1:6">
      <c r="A20" s="155" t="s">
        <v>26</v>
      </c>
      <c r="B20" s="156">
        <v>94219.427414529389</v>
      </c>
      <c r="C20" s="155">
        <v>104820.85959214935</v>
      </c>
      <c r="D20" s="155">
        <v>113210.26746843303</v>
      </c>
      <c r="E20" s="155">
        <v>124709.58451985974</v>
      </c>
      <c r="F20" s="155">
        <v>140961.30822773714</v>
      </c>
    </row>
    <row r="21" spans="1:6">
      <c r="A21" s="155" t="s">
        <v>30</v>
      </c>
      <c r="B21" s="156">
        <v>94235.09451240921</v>
      </c>
      <c r="C21" s="155">
        <v>104514.44285009656</v>
      </c>
      <c r="D21" s="155">
        <v>112311.07724814018</v>
      </c>
      <c r="E21" s="155">
        <v>124399.07765141272</v>
      </c>
      <c r="F21" s="155">
        <v>139837.52773179879</v>
      </c>
    </row>
    <row r="22" spans="1:6">
      <c r="A22" s="158"/>
      <c r="B22" s="156"/>
      <c r="C22" s="155"/>
      <c r="D22" s="155"/>
      <c r="E22" s="155"/>
      <c r="F22" s="155"/>
    </row>
    <row r="23" spans="1:6">
      <c r="A23" s="152" t="s">
        <v>103</v>
      </c>
      <c r="B23" s="153"/>
      <c r="C23" s="161"/>
      <c r="D23" s="161"/>
      <c r="E23" s="161"/>
      <c r="F23" s="154"/>
    </row>
    <row r="24" spans="1:6">
      <c r="A24" s="155" t="s">
        <v>35</v>
      </c>
      <c r="B24" s="156">
        <v>3294025.7121582031</v>
      </c>
      <c r="C24" s="155">
        <v>3444066.3740234375</v>
      </c>
      <c r="D24" s="155">
        <v>3640155.78125</v>
      </c>
      <c r="E24" s="155">
        <v>3834244.28125</v>
      </c>
      <c r="F24" s="155">
        <v>4050848.28125</v>
      </c>
    </row>
    <row r="25" spans="1:6">
      <c r="A25" s="155" t="s">
        <v>36</v>
      </c>
      <c r="B25" s="156">
        <v>83297.910810588626</v>
      </c>
      <c r="C25" s="155">
        <v>84721.245268676226</v>
      </c>
      <c r="D25" s="155">
        <v>87105.423591234648</v>
      </c>
      <c r="E25" s="155">
        <v>89240.458771109959</v>
      </c>
      <c r="F25" s="155">
        <v>91588</v>
      </c>
    </row>
    <row r="26" spans="1:6">
      <c r="A26" s="162" t="s">
        <v>104</v>
      </c>
      <c r="B26" s="163">
        <v>3.2339199455524437</v>
      </c>
      <c r="C26" s="164">
        <v>1.7087276790460182</v>
      </c>
      <c r="D26" s="164">
        <v>2.8141445690481603</v>
      </c>
      <c r="E26" s="164">
        <v>2.4510932750807068</v>
      </c>
      <c r="F26" s="164">
        <v>2.6</v>
      </c>
    </row>
  </sheetData>
  <pageMargins left="0.48" right="0.45" top="0.2" bottom="0.46" header="0.13" footer="0.23"/>
  <pageSetup paperSize="9" firstPageNumber="60" orientation="portrait" useFirstPageNumber="1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view="pageBreakPreview" zoomScaleSheetLayoutView="100" workbookViewId="0">
      <selection activeCell="A3" sqref="A3"/>
    </sheetView>
  </sheetViews>
  <sheetFormatPr defaultRowHeight="14.4"/>
  <cols>
    <col min="1" max="1" width="35.109375" style="6" bestFit="1" customWidth="1"/>
    <col min="2" max="6" width="8.88671875" style="6" customWidth="1"/>
    <col min="8" max="12" width="12.44140625" bestFit="1" customWidth="1"/>
  </cols>
  <sheetData>
    <row r="1" spans="1:6">
      <c r="A1" s="79" t="s">
        <v>106</v>
      </c>
      <c r="B1" s="80"/>
      <c r="C1" s="80"/>
      <c r="D1" s="80"/>
      <c r="E1" s="80"/>
      <c r="F1" s="80"/>
    </row>
    <row r="2" spans="1:6" ht="13.35" customHeight="1">
      <c r="A2" s="81" t="s">
        <v>113</v>
      </c>
      <c r="B2" s="82"/>
      <c r="C2" s="82"/>
      <c r="D2" s="82"/>
      <c r="E2" s="82"/>
      <c r="F2" s="82"/>
    </row>
    <row r="3" spans="1:6" ht="13.35" customHeight="1">
      <c r="A3" s="81"/>
      <c r="B3" s="82"/>
      <c r="C3" s="82"/>
      <c r="D3" s="82"/>
      <c r="E3" s="82"/>
      <c r="F3" s="83" t="s">
        <v>60</v>
      </c>
    </row>
    <row r="4" spans="1:6" ht="13.35" customHeight="1">
      <c r="A4" s="165" t="s">
        <v>37</v>
      </c>
      <c r="B4" s="104" t="s">
        <v>112</v>
      </c>
      <c r="C4" s="104" t="s">
        <v>108</v>
      </c>
      <c r="D4" s="104" t="s">
        <v>109</v>
      </c>
      <c r="E4" s="104" t="s">
        <v>110</v>
      </c>
      <c r="F4" s="104" t="s">
        <v>111</v>
      </c>
    </row>
    <row r="5" spans="1:6" ht="13.35" customHeight="1">
      <c r="A5" s="55" t="s">
        <v>38</v>
      </c>
      <c r="B5" s="168"/>
      <c r="C5" s="56"/>
      <c r="D5" s="56"/>
      <c r="E5" s="56"/>
      <c r="F5" s="56"/>
    </row>
    <row r="6" spans="1:6" ht="13.35" customHeight="1">
      <c r="A6" s="54" t="s">
        <v>32</v>
      </c>
      <c r="B6" s="169">
        <v>4002034.5299363588</v>
      </c>
      <c r="C6" s="57">
        <v>4486192.9351279559</v>
      </c>
      <c r="D6" s="57">
        <v>4958672.6246396881</v>
      </c>
      <c r="E6" s="57">
        <v>5654332.3753158636</v>
      </c>
      <c r="F6" s="57">
        <v>6511701.4250368085</v>
      </c>
    </row>
    <row r="7" spans="1:6" ht="13.35" customHeight="1">
      <c r="A7" s="53" t="s">
        <v>21</v>
      </c>
      <c r="B7" s="170">
        <v>422395.21474820364</v>
      </c>
      <c r="C7" s="58">
        <v>489507.32344822504</v>
      </c>
      <c r="D7" s="58">
        <v>567840.49311371567</v>
      </c>
      <c r="E7" s="58">
        <v>731737.81286224024</v>
      </c>
      <c r="F7" s="58">
        <v>814704.32759153657</v>
      </c>
    </row>
    <row r="8" spans="1:6" ht="13.35" customHeight="1">
      <c r="A8" s="54" t="s">
        <v>39</v>
      </c>
      <c r="B8" s="169">
        <v>3579639.315188155</v>
      </c>
      <c r="C8" s="57">
        <v>3996685.6116797309</v>
      </c>
      <c r="D8" s="57">
        <f>D6-D7</f>
        <v>4390832.1315259729</v>
      </c>
      <c r="E8" s="57">
        <f t="shared" ref="E8:F8" si="0">E6-E7</f>
        <v>4922594.5624536239</v>
      </c>
      <c r="F8" s="57">
        <f t="shared" si="0"/>
        <v>5696997.0974452719</v>
      </c>
    </row>
    <row r="9" spans="1:6" ht="13.35" customHeight="1">
      <c r="A9" s="53" t="s">
        <v>40</v>
      </c>
      <c r="B9" s="170">
        <v>3457094.71484375</v>
      </c>
      <c r="C9" s="58">
        <v>3948306.72265625</v>
      </c>
      <c r="D9" s="58">
        <v>4512798.796875</v>
      </c>
      <c r="E9" s="58">
        <v>5093997.30859375</v>
      </c>
      <c r="F9" s="58">
        <v>5839444.43359375</v>
      </c>
    </row>
    <row r="10" spans="1:6" ht="13.35" customHeight="1">
      <c r="A10" s="59" t="s">
        <v>41</v>
      </c>
      <c r="B10" s="171">
        <v>2936153.48046875</v>
      </c>
      <c r="C10" s="60">
        <v>3357768.64453125</v>
      </c>
      <c r="D10" s="60">
        <v>3788955.9375</v>
      </c>
      <c r="E10" s="60">
        <v>4284522.625</v>
      </c>
      <c r="F10" s="60">
        <v>4889745.1875</v>
      </c>
    </row>
    <row r="11" spans="1:6" ht="13.35" customHeight="1">
      <c r="A11" s="59" t="s">
        <v>14</v>
      </c>
      <c r="B11" s="171">
        <v>520941.234375</v>
      </c>
      <c r="C11" s="60">
        <v>590538.078125</v>
      </c>
      <c r="D11" s="60">
        <v>43585.109375</v>
      </c>
      <c r="E11" s="60">
        <v>43444.58984375</v>
      </c>
      <c r="F11" s="60">
        <v>47685.52734375</v>
      </c>
    </row>
    <row r="12" spans="1:6" ht="13.35" customHeight="1">
      <c r="A12" s="53" t="s">
        <v>42</v>
      </c>
      <c r="B12" s="170">
        <v>122544.60034440504</v>
      </c>
      <c r="C12" s="58">
        <v>48378.889023480937</v>
      </c>
      <c r="D12" s="58">
        <v>680257.75</v>
      </c>
      <c r="E12" s="58">
        <v>766030.09375</v>
      </c>
      <c r="F12" s="58">
        <v>902013.71875</v>
      </c>
    </row>
    <row r="13" spans="1:6" ht="13.35" customHeight="1">
      <c r="A13" s="55" t="s">
        <v>43</v>
      </c>
      <c r="B13" s="168"/>
      <c r="C13" s="56"/>
      <c r="D13" s="56"/>
      <c r="E13" s="56"/>
      <c r="F13" s="56"/>
    </row>
    <row r="14" spans="1:6" ht="13.35" customHeight="1">
      <c r="A14" s="53" t="s">
        <v>42</v>
      </c>
      <c r="B14" s="170">
        <v>122544.60034440504</v>
      </c>
      <c r="C14" s="58">
        <v>48378.889023480937</v>
      </c>
      <c r="D14" s="58">
        <v>-121966.66534902714</v>
      </c>
      <c r="E14" s="58">
        <v>-171402.74614012614</v>
      </c>
      <c r="F14" s="58">
        <v>-142447.33614847809</v>
      </c>
    </row>
    <row r="15" spans="1:6" ht="13.35" customHeight="1">
      <c r="A15" s="53" t="s">
        <v>44</v>
      </c>
      <c r="B15" s="170">
        <v>20860.88</v>
      </c>
      <c r="C15" s="58">
        <v>19890</v>
      </c>
      <c r="D15" s="58">
        <v>13644</v>
      </c>
      <c r="E15" s="58">
        <v>24204</v>
      </c>
      <c r="F15" s="58">
        <v>25219</v>
      </c>
    </row>
    <row r="16" spans="1:6" ht="13.35" customHeight="1">
      <c r="A16" s="53" t="s">
        <v>45</v>
      </c>
      <c r="B16" s="170"/>
      <c r="C16" s="58"/>
      <c r="D16" s="58"/>
      <c r="E16" s="58"/>
      <c r="F16" s="58"/>
    </row>
    <row r="17" spans="1:6" ht="13.35" customHeight="1">
      <c r="A17" s="54" t="s">
        <v>46</v>
      </c>
      <c r="B17" s="169">
        <v>143405.48034440505</v>
      </c>
      <c r="C17" s="57">
        <v>68268.889023480937</v>
      </c>
      <c r="D17" s="57">
        <f>SUM(D14:D15)</f>
        <v>-108322.66534902714</v>
      </c>
      <c r="E17" s="57">
        <f t="shared" ref="E17:F17" si="1">SUM(E14:E15)</f>
        <v>-147198.74614012614</v>
      </c>
      <c r="F17" s="57">
        <f t="shared" si="1"/>
        <v>-117228.33614847809</v>
      </c>
    </row>
    <row r="18" spans="1:6" ht="13.35" customHeight="1">
      <c r="A18" s="53" t="s">
        <v>47</v>
      </c>
      <c r="B18" s="171">
        <v>759090.05859375</v>
      </c>
      <c r="C18" s="60">
        <v>904200.49462890625</v>
      </c>
      <c r="D18" s="60">
        <v>977515.625</v>
      </c>
      <c r="E18" s="60">
        <v>1237600.25</v>
      </c>
      <c r="F18" s="60">
        <v>1339388.5</v>
      </c>
    </row>
    <row r="19" spans="1:6" ht="13.35" customHeight="1">
      <c r="A19" s="53" t="s">
        <v>21</v>
      </c>
      <c r="B19" s="170">
        <v>-422395.21474820399</v>
      </c>
      <c r="C19" s="58">
        <v>-489507.32344822498</v>
      </c>
      <c r="D19" s="58">
        <v>-567840.49311371567</v>
      </c>
      <c r="E19" s="58">
        <v>-731737.81286224024</v>
      </c>
      <c r="F19" s="58">
        <v>-814704.32759153657</v>
      </c>
    </row>
    <row r="20" spans="1:6" ht="13.35" customHeight="1">
      <c r="A20" s="53" t="s">
        <v>48</v>
      </c>
      <c r="B20" s="171">
        <v>48437.366263747215</v>
      </c>
      <c r="C20" s="60">
        <v>12541.704225540161</v>
      </c>
      <c r="D20" s="60">
        <v>-20581.49609375</v>
      </c>
      <c r="E20" s="60">
        <v>-23347.609375</v>
      </c>
      <c r="F20" s="60">
        <v>-19473.2890625</v>
      </c>
    </row>
    <row r="21" spans="1:6" ht="13.35" customHeight="1">
      <c r="A21" s="53" t="s">
        <v>49</v>
      </c>
      <c r="B21" s="170">
        <v>-241726.70927924896</v>
      </c>
      <c r="C21" s="58">
        <v>-358965.98480154842</v>
      </c>
      <c r="D21" s="58">
        <v>-497416.30114156147</v>
      </c>
      <c r="E21" s="58">
        <v>-629713.5739028859</v>
      </c>
      <c r="F21" s="58">
        <v>-622439.21949444152</v>
      </c>
    </row>
    <row r="22" spans="1:6" ht="13.35" customHeight="1">
      <c r="A22" s="166" t="s">
        <v>46</v>
      </c>
      <c r="B22" s="172">
        <v>143405.50083004427</v>
      </c>
      <c r="C22" s="167">
        <v>68268.890604673012</v>
      </c>
      <c r="D22" s="167">
        <f>D17</f>
        <v>-108322.66534902714</v>
      </c>
      <c r="E22" s="167">
        <f t="shared" ref="E22:F22" si="2">E17</f>
        <v>-147198.74614012614</v>
      </c>
      <c r="F22" s="167">
        <f t="shared" si="2"/>
        <v>-117228.33614847809</v>
      </c>
    </row>
    <row r="23" spans="1:6" ht="13.35" customHeight="1">
      <c r="A23" s="6" t="s">
        <v>18</v>
      </c>
    </row>
    <row r="24" spans="1:6" ht="13.35" customHeight="1">
      <c r="A24" s="7" t="s">
        <v>76</v>
      </c>
    </row>
  </sheetData>
  <pageMargins left="1.25" right="0.7" top="0.21" bottom="0.42" header="0.16" footer="0.23"/>
  <pageSetup paperSize="9" firstPageNumber="61" orientation="portrait" useFirstPageNumber="1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"/>
  <sheetViews>
    <sheetView workbookViewId="0">
      <selection activeCell="D10" sqref="D10"/>
    </sheetView>
  </sheetViews>
  <sheetFormatPr defaultRowHeight="14.4"/>
  <sheetData>
    <row r="10" spans="4:4" ht="15.6">
      <c r="D10" s="9" t="s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showGridLines="0" topLeftCell="A2" zoomScale="87" zoomScaleNormal="87" zoomScaleSheetLayoutView="77" workbookViewId="0">
      <pane xSplit="1" ySplit="3" topLeftCell="B43" activePane="bottomRight" state="frozen"/>
      <selection activeCell="A2" sqref="A2"/>
      <selection pane="topRight" activeCell="B2" sqref="B2"/>
      <selection pane="bottomLeft" activeCell="A5" sqref="A5"/>
      <selection pane="bottomRight" activeCell="M59" sqref="M59"/>
    </sheetView>
  </sheetViews>
  <sheetFormatPr defaultColWidth="9.109375" defaultRowHeight="14.4"/>
  <cols>
    <col min="1" max="1" width="36" style="226" customWidth="1"/>
    <col min="2" max="7" width="9.109375" style="226" customWidth="1"/>
    <col min="8" max="9" width="9.109375" style="67" customWidth="1"/>
    <col min="10" max="11" width="9.109375" style="314" customWidth="1"/>
    <col min="12" max="12" width="12.44140625" style="67" bestFit="1" customWidth="1"/>
    <col min="13" max="16384" width="9.109375" style="67"/>
  </cols>
  <sheetData>
    <row r="1" spans="1:12">
      <c r="A1" s="79" t="s">
        <v>106</v>
      </c>
      <c r="B1" s="79"/>
      <c r="C1" s="79"/>
      <c r="D1" s="79"/>
      <c r="E1" s="79"/>
      <c r="F1" s="79"/>
      <c r="G1" s="79"/>
      <c r="H1" s="79"/>
      <c r="I1" s="79"/>
    </row>
    <row r="2" spans="1:12">
      <c r="A2" s="209" t="s">
        <v>188</v>
      </c>
      <c r="B2" s="210"/>
      <c r="C2" s="210"/>
      <c r="D2" s="210"/>
      <c r="E2" s="210"/>
      <c r="F2" s="210"/>
      <c r="G2" s="210"/>
      <c r="H2" s="211"/>
      <c r="I2" s="211"/>
    </row>
    <row r="3" spans="1:12">
      <c r="A3" s="212"/>
      <c r="B3" s="213"/>
      <c r="C3" s="213"/>
      <c r="D3" s="214"/>
      <c r="E3" s="213"/>
      <c r="F3" s="214"/>
      <c r="G3" s="215"/>
      <c r="H3" s="215"/>
      <c r="I3" s="215"/>
      <c r="K3" s="371" t="s">
        <v>60</v>
      </c>
    </row>
    <row r="4" spans="1:12">
      <c r="A4" s="216" t="s">
        <v>61</v>
      </c>
      <c r="B4" s="104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200</v>
      </c>
      <c r="J4" s="104" t="s">
        <v>201</v>
      </c>
      <c r="K4" s="104" t="s">
        <v>182</v>
      </c>
    </row>
    <row r="5" spans="1:12">
      <c r="A5" s="217" t="s">
        <v>62</v>
      </c>
      <c r="B5" s="289">
        <v>876145</v>
      </c>
      <c r="C5" s="289">
        <v>957594</v>
      </c>
      <c r="D5" s="289">
        <v>1046434</v>
      </c>
      <c r="E5" s="289">
        <v>1153406</v>
      </c>
      <c r="F5" s="289">
        <v>1246013</v>
      </c>
      <c r="G5" s="218">
        <v>1336990</v>
      </c>
      <c r="H5" s="218">
        <v>1460983</v>
      </c>
      <c r="I5" s="218">
        <v>1647531</v>
      </c>
      <c r="J5" s="218">
        <v>1770503</v>
      </c>
      <c r="K5" s="218">
        <v>1809938</v>
      </c>
    </row>
    <row r="6" spans="1:12">
      <c r="A6" s="217" t="s">
        <v>63</v>
      </c>
      <c r="B6" s="289">
        <v>5104892</v>
      </c>
      <c r="C6" s="289">
        <v>5704205</v>
      </c>
      <c r="D6" s="289">
        <v>6495722</v>
      </c>
      <c r="E6" s="289">
        <v>7099419</v>
      </c>
      <c r="F6" s="289">
        <v>7818862</v>
      </c>
      <c r="G6" s="289">
        <v>8078074</v>
      </c>
      <c r="H6" s="289">
        <v>8970837</v>
      </c>
      <c r="I6" s="289">
        <v>10106644</v>
      </c>
      <c r="J6" s="289">
        <v>11459938</v>
      </c>
      <c r="K6" s="289">
        <v>12483729</v>
      </c>
    </row>
    <row r="7" spans="1:12">
      <c r="A7" s="217" t="s">
        <v>146</v>
      </c>
      <c r="B7" s="289">
        <v>93921</v>
      </c>
      <c r="C7" s="289">
        <v>98216</v>
      </c>
      <c r="D7" s="289">
        <v>113943</v>
      </c>
      <c r="E7" s="289">
        <v>102229</v>
      </c>
      <c r="F7" s="289">
        <v>107459</v>
      </c>
      <c r="G7" s="289">
        <v>112458</v>
      </c>
      <c r="H7" s="289">
        <v>109585</v>
      </c>
      <c r="I7" s="289">
        <v>103375</v>
      </c>
      <c r="J7" s="289">
        <v>109007</v>
      </c>
      <c r="K7" s="289">
        <v>110347</v>
      </c>
    </row>
    <row r="8" spans="1:12">
      <c r="A8" s="217" t="s">
        <v>47</v>
      </c>
      <c r="B8" s="289">
        <v>1520817</v>
      </c>
      <c r="C8" s="289">
        <v>1472621</v>
      </c>
      <c r="D8" s="289">
        <v>1687833</v>
      </c>
      <c r="E8" s="289">
        <v>1783811</v>
      </c>
      <c r="F8" s="289">
        <v>1941234</v>
      </c>
      <c r="G8" s="218">
        <v>2070321</v>
      </c>
      <c r="H8" s="218">
        <v>2367797</v>
      </c>
      <c r="I8" s="218">
        <v>2509782</v>
      </c>
      <c r="J8" s="218">
        <v>2625440</v>
      </c>
      <c r="K8" s="218">
        <v>2845545</v>
      </c>
    </row>
    <row r="9" spans="1:12">
      <c r="A9" s="217" t="s">
        <v>48</v>
      </c>
      <c r="B9" s="290">
        <v>851</v>
      </c>
      <c r="C9" s="290">
        <v>-3288</v>
      </c>
      <c r="D9" s="290">
        <v>65133</v>
      </c>
      <c r="E9" s="290">
        <v>25965</v>
      </c>
      <c r="F9" s="290">
        <v>38930</v>
      </c>
      <c r="G9" s="75">
        <v>35360</v>
      </c>
      <c r="H9" s="75">
        <v>84793</v>
      </c>
      <c r="I9" s="75">
        <v>60543</v>
      </c>
      <c r="J9" s="75">
        <v>-134258</v>
      </c>
      <c r="K9" s="75">
        <v>-123539</v>
      </c>
    </row>
    <row r="10" spans="1:12" s="312" customFormat="1">
      <c r="A10" s="219" t="s">
        <v>64</v>
      </c>
      <c r="B10" s="291">
        <v>7596626</v>
      </c>
      <c r="C10" s="291">
        <v>8229347</v>
      </c>
      <c r="D10" s="291">
        <v>9409065</v>
      </c>
      <c r="E10" s="291">
        <v>10164830</v>
      </c>
      <c r="F10" s="291">
        <v>11152498</v>
      </c>
      <c r="G10" s="291">
        <v>11633203</v>
      </c>
      <c r="H10" s="291">
        <v>12993994</v>
      </c>
      <c r="I10" s="291">
        <v>14427875</v>
      </c>
      <c r="J10" s="291">
        <v>15830630</v>
      </c>
      <c r="K10" s="291">
        <v>17126020</v>
      </c>
      <c r="L10" s="313"/>
    </row>
    <row r="11" spans="1:12">
      <c r="A11" s="217" t="s">
        <v>65</v>
      </c>
      <c r="B11" s="289">
        <v>1041510</v>
      </c>
      <c r="C11" s="289">
        <v>1006194</v>
      </c>
      <c r="D11" s="289">
        <v>1080501</v>
      </c>
      <c r="E11" s="289">
        <v>1171459</v>
      </c>
      <c r="F11" s="289">
        <v>1169967</v>
      </c>
      <c r="G11" s="218">
        <v>1225916</v>
      </c>
      <c r="H11" s="218">
        <v>1576795</v>
      </c>
      <c r="I11" s="218">
        <v>2152546</v>
      </c>
      <c r="J11" s="218">
        <v>2539277</v>
      </c>
      <c r="K11" s="218">
        <v>2768807</v>
      </c>
      <c r="L11" s="220"/>
    </row>
    <row r="12" spans="1:12">
      <c r="A12" s="221" t="s">
        <v>66</v>
      </c>
      <c r="B12" s="289">
        <v>1734755</v>
      </c>
      <c r="C12" s="289">
        <v>1641478</v>
      </c>
      <c r="D12" s="289">
        <v>1973102</v>
      </c>
      <c r="E12" s="289">
        <v>2042985</v>
      </c>
      <c r="F12" s="289">
        <v>2081480</v>
      </c>
      <c r="G12" s="218">
        <v>2031373</v>
      </c>
      <c r="H12" s="218">
        <v>2633133</v>
      </c>
      <c r="I12" s="218">
        <v>3280451</v>
      </c>
      <c r="J12" s="218">
        <v>3641204</v>
      </c>
      <c r="K12" s="218">
        <v>3751164</v>
      </c>
      <c r="L12" s="220"/>
    </row>
    <row r="13" spans="1:12">
      <c r="A13" s="222" t="s">
        <v>203</v>
      </c>
      <c r="B13" s="290">
        <v>-19054</v>
      </c>
      <c r="C13" s="290">
        <v>0</v>
      </c>
      <c r="D13" s="290">
        <v>-33068</v>
      </c>
      <c r="E13" s="290">
        <v>47002</v>
      </c>
      <c r="F13" s="290">
        <v>-3258</v>
      </c>
      <c r="G13" s="292">
        <v>-112676</v>
      </c>
      <c r="H13" s="75">
        <v>90006</v>
      </c>
      <c r="I13" s="75">
        <v>189672</v>
      </c>
      <c r="J13" s="75">
        <v>304908</v>
      </c>
      <c r="K13" s="75">
        <v>80816</v>
      </c>
      <c r="L13" s="220"/>
    </row>
    <row r="14" spans="1:12" ht="15" customHeight="1">
      <c r="A14" s="223" t="s">
        <v>26</v>
      </c>
      <c r="B14" s="224">
        <v>6884327</v>
      </c>
      <c r="C14" s="224">
        <v>7594064</v>
      </c>
      <c r="D14" s="224">
        <v>8483397</v>
      </c>
      <c r="E14" s="224">
        <v>9340307</v>
      </c>
      <c r="F14" s="224">
        <v>10237727</v>
      </c>
      <c r="G14" s="224">
        <v>10715070</v>
      </c>
      <c r="H14" s="224">
        <v>12027662</v>
      </c>
      <c r="I14" s="224">
        <v>13489642</v>
      </c>
      <c r="J14" s="224">
        <v>15033610</v>
      </c>
      <c r="K14" s="224">
        <v>16224478</v>
      </c>
      <c r="L14" s="220"/>
    </row>
    <row r="15" spans="1:12" ht="12" customHeight="1">
      <c r="A15" s="372" t="s">
        <v>204</v>
      </c>
      <c r="B15" s="225"/>
      <c r="C15" s="225"/>
      <c r="D15" s="225"/>
      <c r="E15" s="225"/>
      <c r="F15" s="225"/>
      <c r="G15" s="225"/>
      <c r="H15" s="225"/>
      <c r="I15" s="225"/>
      <c r="J15" s="315"/>
      <c r="K15" s="315"/>
    </row>
    <row r="16" spans="1:12" ht="12" customHeight="1">
      <c r="A16" s="373" t="s">
        <v>18</v>
      </c>
      <c r="B16" s="228"/>
      <c r="C16" s="228"/>
      <c r="D16" s="227"/>
      <c r="E16" s="228"/>
      <c r="F16" s="227"/>
      <c r="G16" s="229"/>
      <c r="J16" s="315"/>
      <c r="K16" s="315"/>
    </row>
    <row r="17" spans="1:12" ht="12" customHeight="1">
      <c r="A17" s="374" t="s">
        <v>202</v>
      </c>
      <c r="B17" s="228"/>
      <c r="C17" s="228"/>
      <c r="D17" s="227"/>
      <c r="E17" s="228"/>
      <c r="F17" s="227"/>
      <c r="G17" s="229"/>
      <c r="J17" s="315"/>
      <c r="K17" s="315"/>
    </row>
    <row r="18" spans="1:12" ht="12" customHeight="1">
      <c r="A18" s="374" t="s">
        <v>178</v>
      </c>
      <c r="B18" s="228"/>
      <c r="C18" s="228"/>
      <c r="D18" s="227"/>
      <c r="E18" s="228"/>
      <c r="F18" s="227"/>
      <c r="G18" s="229"/>
      <c r="J18" s="315"/>
      <c r="K18" s="315"/>
    </row>
    <row r="19" spans="1:12" ht="15.6">
      <c r="A19" s="231" t="s">
        <v>199</v>
      </c>
      <c r="B19" s="232"/>
      <c r="C19" s="232"/>
      <c r="D19" s="232"/>
      <c r="E19" s="232"/>
      <c r="F19" s="232"/>
      <c r="G19" s="232"/>
      <c r="H19" s="211"/>
      <c r="I19" s="211"/>
      <c r="J19" s="316"/>
      <c r="K19" s="316"/>
    </row>
    <row r="20" spans="1:12">
      <c r="A20" s="209"/>
      <c r="B20" s="215"/>
      <c r="C20" s="215"/>
      <c r="D20" s="215"/>
      <c r="E20" s="215"/>
      <c r="F20" s="215"/>
      <c r="G20" s="215"/>
      <c r="H20" s="215"/>
      <c r="I20" s="215"/>
      <c r="K20" s="371" t="s">
        <v>144</v>
      </c>
    </row>
    <row r="21" spans="1:12">
      <c r="A21" s="216" t="s">
        <v>61</v>
      </c>
      <c r="B21" s="104">
        <v>2015</v>
      </c>
      <c r="C21" s="104">
        <v>2016</v>
      </c>
      <c r="D21" s="104">
        <v>2017</v>
      </c>
      <c r="E21" s="104">
        <v>2018</v>
      </c>
      <c r="F21" s="104">
        <v>2019</v>
      </c>
      <c r="G21" s="104">
        <v>2020</v>
      </c>
      <c r="H21" s="104">
        <v>2021</v>
      </c>
      <c r="I21" s="104" t="s">
        <v>200</v>
      </c>
      <c r="J21" s="104" t="s">
        <v>201</v>
      </c>
      <c r="K21" s="104" t="s">
        <v>182</v>
      </c>
    </row>
    <row r="22" spans="1:12">
      <c r="A22" s="233" t="s">
        <v>62</v>
      </c>
      <c r="B22" s="293">
        <v>12.7</v>
      </c>
      <c r="C22" s="293">
        <v>12.6</v>
      </c>
      <c r="D22" s="293">
        <v>12.3</v>
      </c>
      <c r="E22" s="293">
        <v>12.3</v>
      </c>
      <c r="F22" s="293">
        <v>12.2</v>
      </c>
      <c r="G22" s="293">
        <v>12.5</v>
      </c>
      <c r="H22" s="293">
        <v>12.1</v>
      </c>
      <c r="I22" s="293">
        <v>12.2</v>
      </c>
      <c r="J22" s="293">
        <v>11.8</v>
      </c>
      <c r="K22" s="293">
        <v>11.2</v>
      </c>
    </row>
    <row r="23" spans="1:12">
      <c r="A23" s="234" t="s">
        <v>63</v>
      </c>
      <c r="B23" s="235">
        <v>74.2</v>
      </c>
      <c r="C23" s="235">
        <v>75.099999999999994</v>
      </c>
      <c r="D23" s="235">
        <v>76.599999999999994</v>
      </c>
      <c r="E23" s="235">
        <v>76</v>
      </c>
      <c r="F23" s="235">
        <v>76.400000000000006</v>
      </c>
      <c r="G23" s="235">
        <v>75.400000000000006</v>
      </c>
      <c r="H23" s="235">
        <v>74.599999999999994</v>
      </c>
      <c r="I23" s="235">
        <v>74.900000000000006</v>
      </c>
      <c r="J23" s="235">
        <v>76.2</v>
      </c>
      <c r="K23" s="235">
        <v>76.900000000000006</v>
      </c>
    </row>
    <row r="24" spans="1:12">
      <c r="A24" s="217" t="s">
        <v>146</v>
      </c>
      <c r="B24" s="235">
        <v>1.4</v>
      </c>
      <c r="C24" s="235">
        <v>1.3</v>
      </c>
      <c r="D24" s="235">
        <v>1.3</v>
      </c>
      <c r="E24" s="235">
        <v>1.1000000000000001</v>
      </c>
      <c r="F24" s="235">
        <v>1</v>
      </c>
      <c r="G24" s="235">
        <v>1</v>
      </c>
      <c r="H24" s="235">
        <v>0.9</v>
      </c>
      <c r="I24" s="235">
        <v>0.8</v>
      </c>
      <c r="J24" s="235">
        <v>0.7</v>
      </c>
      <c r="K24" s="235">
        <v>0.7</v>
      </c>
    </row>
    <row r="25" spans="1:12">
      <c r="A25" s="233" t="s">
        <v>47</v>
      </c>
      <c r="B25" s="235">
        <v>22.1</v>
      </c>
      <c r="C25" s="235">
        <v>19.399999999999999</v>
      </c>
      <c r="D25" s="235">
        <v>19.899999999999999</v>
      </c>
      <c r="E25" s="235">
        <v>19.100000000000001</v>
      </c>
      <c r="F25" s="235">
        <v>19</v>
      </c>
      <c r="G25" s="235">
        <v>19.3</v>
      </c>
      <c r="H25" s="235">
        <v>19.7</v>
      </c>
      <c r="I25" s="235">
        <v>18.600000000000001</v>
      </c>
      <c r="J25" s="235">
        <v>17.5</v>
      </c>
      <c r="K25" s="235">
        <v>17.5</v>
      </c>
    </row>
    <row r="26" spans="1:12">
      <c r="A26" s="233" t="s">
        <v>48</v>
      </c>
      <c r="B26" s="235">
        <v>0</v>
      </c>
      <c r="C26" s="235">
        <v>0</v>
      </c>
      <c r="D26" s="235">
        <v>0.8</v>
      </c>
      <c r="E26" s="235">
        <v>0.3</v>
      </c>
      <c r="F26" s="235">
        <v>0.4</v>
      </c>
      <c r="G26" s="235">
        <v>0.3</v>
      </c>
      <c r="H26" s="235">
        <v>0.7</v>
      </c>
      <c r="I26" s="235">
        <v>0.4</v>
      </c>
      <c r="J26" s="235">
        <v>-0.9</v>
      </c>
      <c r="K26" s="235">
        <v>-0.8</v>
      </c>
    </row>
    <row r="27" spans="1:12" s="273" customFormat="1">
      <c r="A27" s="271" t="s">
        <v>64</v>
      </c>
      <c r="B27" s="294">
        <v>110.3</v>
      </c>
      <c r="C27" s="294">
        <v>108.4</v>
      </c>
      <c r="D27" s="294">
        <v>110.9</v>
      </c>
      <c r="E27" s="294">
        <v>108.8</v>
      </c>
      <c r="F27" s="294">
        <v>108.9</v>
      </c>
      <c r="G27" s="294">
        <v>108.6</v>
      </c>
      <c r="H27" s="294">
        <v>108</v>
      </c>
      <c r="I27" s="294">
        <v>107</v>
      </c>
      <c r="J27" s="294">
        <v>105.3</v>
      </c>
      <c r="K27" s="294">
        <v>105.6</v>
      </c>
      <c r="L27" s="272"/>
    </row>
    <row r="28" spans="1:12">
      <c r="A28" s="233" t="s">
        <v>65</v>
      </c>
      <c r="B28" s="235">
        <v>15.1</v>
      </c>
      <c r="C28" s="235">
        <v>13.2</v>
      </c>
      <c r="D28" s="235">
        <v>12.7</v>
      </c>
      <c r="E28" s="235">
        <v>12.5</v>
      </c>
      <c r="F28" s="235">
        <v>11.4</v>
      </c>
      <c r="G28" s="235">
        <v>9.6</v>
      </c>
      <c r="H28" s="235">
        <v>10.8</v>
      </c>
      <c r="I28" s="235">
        <v>16</v>
      </c>
      <c r="J28" s="235">
        <v>16.899999999999999</v>
      </c>
      <c r="K28" s="235">
        <v>17.100000000000001</v>
      </c>
      <c r="L28" s="236"/>
    </row>
    <row r="29" spans="1:12">
      <c r="A29" s="233" t="s">
        <v>66</v>
      </c>
      <c r="B29" s="235">
        <v>25.2</v>
      </c>
      <c r="C29" s="235">
        <v>21.6</v>
      </c>
      <c r="D29" s="235">
        <v>23.3</v>
      </c>
      <c r="E29" s="235">
        <v>21.9</v>
      </c>
      <c r="F29" s="235">
        <v>20.3</v>
      </c>
      <c r="G29" s="235">
        <v>17.600000000000001</v>
      </c>
      <c r="H29" s="24">
        <v>20.100000000000001</v>
      </c>
      <c r="I29" s="24">
        <v>24.3</v>
      </c>
      <c r="J29" s="235">
        <v>24.2</v>
      </c>
      <c r="K29" s="235">
        <v>23.1</v>
      </c>
      <c r="L29" s="236"/>
    </row>
    <row r="30" spans="1:12">
      <c r="A30" s="222" t="s">
        <v>203</v>
      </c>
      <c r="B30" s="235">
        <v>-0.3</v>
      </c>
      <c r="C30" s="235">
        <v>0</v>
      </c>
      <c r="D30" s="235">
        <v>-0.4</v>
      </c>
      <c r="E30" s="235">
        <v>0.5</v>
      </c>
      <c r="F30" s="235">
        <v>0</v>
      </c>
      <c r="G30" s="235">
        <v>-0.6</v>
      </c>
      <c r="H30" s="24">
        <v>1.3</v>
      </c>
      <c r="I30" s="24">
        <v>1.4</v>
      </c>
      <c r="J30" s="235">
        <v>2</v>
      </c>
      <c r="K30" s="235">
        <v>0.5</v>
      </c>
      <c r="L30" s="236"/>
    </row>
    <row r="31" spans="1:12">
      <c r="A31" s="237" t="s">
        <v>26</v>
      </c>
      <c r="B31" s="238">
        <v>100</v>
      </c>
      <c r="C31" s="238">
        <v>100</v>
      </c>
      <c r="D31" s="238">
        <v>100</v>
      </c>
      <c r="E31" s="238">
        <v>100</v>
      </c>
      <c r="F31" s="238">
        <v>100</v>
      </c>
      <c r="G31" s="238">
        <v>100</v>
      </c>
      <c r="H31" s="238">
        <v>100</v>
      </c>
      <c r="I31" s="238">
        <v>100</v>
      </c>
      <c r="J31" s="238">
        <v>100</v>
      </c>
      <c r="K31" s="238">
        <v>100</v>
      </c>
      <c r="L31" s="236"/>
    </row>
    <row r="32" spans="1:12" ht="12" customHeight="1">
      <c r="A32" s="372" t="s">
        <v>205</v>
      </c>
      <c r="B32" s="225"/>
      <c r="C32" s="225"/>
      <c r="D32" s="225"/>
      <c r="E32" s="225"/>
      <c r="F32" s="225"/>
      <c r="G32" s="225"/>
      <c r="J32" s="315"/>
      <c r="K32" s="315"/>
    </row>
    <row r="33" spans="1:12" ht="12" customHeight="1">
      <c r="A33" s="373" t="s">
        <v>18</v>
      </c>
      <c r="B33" s="227"/>
      <c r="C33" s="227"/>
      <c r="D33" s="227"/>
      <c r="E33" s="227"/>
      <c r="F33" s="227"/>
      <c r="G33" s="227"/>
      <c r="J33" s="315"/>
      <c r="K33" s="315"/>
    </row>
    <row r="34" spans="1:12" ht="12" customHeight="1">
      <c r="A34" s="374" t="s">
        <v>202</v>
      </c>
      <c r="J34" s="315"/>
      <c r="K34" s="315"/>
    </row>
    <row r="35" spans="1:12">
      <c r="A35" s="231" t="s">
        <v>198</v>
      </c>
      <c r="B35" s="232"/>
      <c r="C35" s="232"/>
      <c r="D35" s="214"/>
      <c r="E35" s="232"/>
      <c r="F35" s="214"/>
      <c r="G35" s="214"/>
      <c r="H35" s="211"/>
      <c r="I35" s="211"/>
      <c r="J35" s="315"/>
      <c r="K35" s="315"/>
    </row>
    <row r="36" spans="1:12">
      <c r="A36" s="212"/>
      <c r="H36" s="215"/>
      <c r="I36" s="215"/>
      <c r="K36" s="371" t="s">
        <v>145</v>
      </c>
    </row>
    <row r="37" spans="1:12">
      <c r="A37" s="216" t="s">
        <v>61</v>
      </c>
      <c r="B37" s="104">
        <v>2015</v>
      </c>
      <c r="C37" s="104">
        <v>2016</v>
      </c>
      <c r="D37" s="104">
        <v>2017</v>
      </c>
      <c r="E37" s="104">
        <v>2018</v>
      </c>
      <c r="F37" s="104">
        <v>2019</v>
      </c>
      <c r="G37" s="104">
        <v>2020</v>
      </c>
      <c r="H37" s="104">
        <v>2021</v>
      </c>
      <c r="I37" s="104" t="s">
        <v>200</v>
      </c>
      <c r="J37" s="104" t="s">
        <v>201</v>
      </c>
      <c r="K37" s="104" t="s">
        <v>182</v>
      </c>
    </row>
    <row r="38" spans="1:12">
      <c r="A38" s="217" t="s">
        <v>62</v>
      </c>
      <c r="B38" s="295">
        <v>909472</v>
      </c>
      <c r="C38" s="295">
        <v>957594</v>
      </c>
      <c r="D38" s="295">
        <v>1017294</v>
      </c>
      <c r="E38" s="295">
        <v>1088333</v>
      </c>
      <c r="F38" s="295">
        <v>1149604</v>
      </c>
      <c r="G38" s="296">
        <v>1184832</v>
      </c>
      <c r="H38" s="296">
        <v>1255503</v>
      </c>
      <c r="I38" s="296">
        <v>1357481</v>
      </c>
      <c r="J38" s="296">
        <v>1384263</v>
      </c>
      <c r="K38" s="296">
        <v>1389163</v>
      </c>
    </row>
    <row r="39" spans="1:12">
      <c r="A39" s="217" t="s">
        <v>63</v>
      </c>
      <c r="B39" s="289">
        <v>5453345</v>
      </c>
      <c r="C39" s="289">
        <v>5704205</v>
      </c>
      <c r="D39" s="297">
        <v>5977927</v>
      </c>
      <c r="E39" s="297">
        <v>6281580</v>
      </c>
      <c r="F39" s="297">
        <v>6596983</v>
      </c>
      <c r="G39" s="75">
        <v>6472923</v>
      </c>
      <c r="H39" s="75">
        <v>6878474</v>
      </c>
      <c r="I39" s="75">
        <v>7050933</v>
      </c>
      <c r="J39" s="75">
        <v>7586646</v>
      </c>
      <c r="K39" s="75">
        <v>8119498</v>
      </c>
    </row>
    <row r="40" spans="1:12">
      <c r="A40" s="217" t="s">
        <v>146</v>
      </c>
      <c r="B40" s="289">
        <v>99005</v>
      </c>
      <c r="C40" s="289">
        <v>98216</v>
      </c>
      <c r="D40" s="297">
        <v>109419</v>
      </c>
      <c r="E40" s="297">
        <v>93682</v>
      </c>
      <c r="F40" s="297">
        <v>97100</v>
      </c>
      <c r="G40" s="75">
        <v>98584</v>
      </c>
      <c r="H40" s="75">
        <v>90982</v>
      </c>
      <c r="I40" s="75">
        <v>81367</v>
      </c>
      <c r="J40" s="75">
        <v>82243</v>
      </c>
      <c r="K40" s="75">
        <v>80396</v>
      </c>
    </row>
    <row r="41" spans="1:12">
      <c r="A41" s="217" t="s">
        <v>47</v>
      </c>
      <c r="B41" s="289">
        <v>1530261</v>
      </c>
      <c r="C41" s="289">
        <v>1472621</v>
      </c>
      <c r="D41" s="289">
        <v>1590555</v>
      </c>
      <c r="E41" s="289">
        <v>1584335</v>
      </c>
      <c r="F41" s="289">
        <v>1655651</v>
      </c>
      <c r="G41" s="218">
        <v>1693647</v>
      </c>
      <c r="H41" s="218">
        <v>1876991</v>
      </c>
      <c r="I41" s="218">
        <v>1861373</v>
      </c>
      <c r="J41" s="218">
        <v>1897098</v>
      </c>
      <c r="K41" s="218">
        <v>2015255</v>
      </c>
    </row>
    <row r="42" spans="1:12">
      <c r="A42" s="217" t="s">
        <v>48</v>
      </c>
      <c r="B42" s="290">
        <v>-1298</v>
      </c>
      <c r="C42" s="290">
        <v>-3288</v>
      </c>
      <c r="D42" s="290">
        <v>54910</v>
      </c>
      <c r="E42" s="290">
        <v>22633</v>
      </c>
      <c r="F42" s="290">
        <v>35704</v>
      </c>
      <c r="G42" s="75">
        <v>35348</v>
      </c>
      <c r="H42" s="75">
        <v>83554</v>
      </c>
      <c r="I42" s="75">
        <v>47534</v>
      </c>
      <c r="J42" s="75">
        <v>-93900</v>
      </c>
      <c r="K42" s="75">
        <v>-80899</v>
      </c>
    </row>
    <row r="43" spans="1:12" customFormat="1">
      <c r="A43" s="274" t="s">
        <v>64</v>
      </c>
      <c r="B43" s="298">
        <v>7990786</v>
      </c>
      <c r="C43" s="298">
        <v>8229347</v>
      </c>
      <c r="D43" s="298">
        <v>8750105</v>
      </c>
      <c r="E43" s="298">
        <v>9070564</v>
      </c>
      <c r="F43" s="298">
        <v>9535042</v>
      </c>
      <c r="G43" s="298">
        <v>9485333</v>
      </c>
      <c r="H43" s="298">
        <v>10185503</v>
      </c>
      <c r="I43" s="298">
        <v>10398688</v>
      </c>
      <c r="J43" s="298">
        <v>10856349</v>
      </c>
      <c r="K43" s="298">
        <v>11523413</v>
      </c>
      <c r="L43" s="204"/>
    </row>
    <row r="44" spans="1:12">
      <c r="A44" s="217" t="s">
        <v>65</v>
      </c>
      <c r="B44" s="289">
        <v>1076940</v>
      </c>
      <c r="C44" s="289">
        <v>1006194</v>
      </c>
      <c r="D44" s="289">
        <v>995954</v>
      </c>
      <c r="E44" s="289">
        <v>1063401</v>
      </c>
      <c r="F44" s="289">
        <v>1029822</v>
      </c>
      <c r="G44" s="218">
        <v>1127873</v>
      </c>
      <c r="H44" s="218">
        <v>1315165</v>
      </c>
      <c r="I44" s="218">
        <v>1588103</v>
      </c>
      <c r="J44" s="218">
        <v>1774442</v>
      </c>
      <c r="K44" s="218">
        <v>1907539</v>
      </c>
      <c r="L44" s="220"/>
    </row>
    <row r="45" spans="1:12">
      <c r="A45" s="221" t="s">
        <v>66</v>
      </c>
      <c r="B45" s="289">
        <v>1772842</v>
      </c>
      <c r="C45" s="289">
        <v>1641478</v>
      </c>
      <c r="D45" s="289">
        <v>1845375</v>
      </c>
      <c r="E45" s="289">
        <v>1871835</v>
      </c>
      <c r="F45" s="289">
        <v>1906361</v>
      </c>
      <c r="G45" s="218">
        <v>1864493</v>
      </c>
      <c r="H45" s="218">
        <v>2295746</v>
      </c>
      <c r="I45" s="218">
        <v>2546267</v>
      </c>
      <c r="J45" s="218">
        <v>2580403</v>
      </c>
      <c r="K45" s="218">
        <v>2650440</v>
      </c>
      <c r="L45" s="220"/>
    </row>
    <row r="46" spans="1:12">
      <c r="A46" s="222" t="s">
        <v>203</v>
      </c>
      <c r="B46" s="290">
        <v>-10369</v>
      </c>
      <c r="C46" s="290">
        <v>1</v>
      </c>
      <c r="D46" s="290">
        <v>-15163</v>
      </c>
      <c r="E46" s="290">
        <v>68762</v>
      </c>
      <c r="F46" s="290">
        <v>98443</v>
      </c>
      <c r="G46" s="218">
        <v>-15653</v>
      </c>
      <c r="H46" s="218">
        <v>191020</v>
      </c>
      <c r="I46" s="218">
        <v>412058</v>
      </c>
      <c r="J46" s="218">
        <v>365763</v>
      </c>
      <c r="K46" s="218">
        <v>127774</v>
      </c>
      <c r="L46" s="220"/>
    </row>
    <row r="47" spans="1:12">
      <c r="A47" s="223" t="s">
        <v>26</v>
      </c>
      <c r="B47" s="224">
        <v>7284515</v>
      </c>
      <c r="C47" s="224">
        <v>7594064</v>
      </c>
      <c r="D47" s="224">
        <v>7885522</v>
      </c>
      <c r="E47" s="224">
        <v>8330892</v>
      </c>
      <c r="F47" s="224">
        <v>8756946</v>
      </c>
      <c r="G47" s="224">
        <v>8733060</v>
      </c>
      <c r="H47" s="224">
        <v>9395942</v>
      </c>
      <c r="I47" s="224">
        <v>9852583</v>
      </c>
      <c r="J47" s="224">
        <v>10416150</v>
      </c>
      <c r="K47" s="224">
        <v>10908286</v>
      </c>
      <c r="L47" s="220"/>
    </row>
    <row r="48" spans="1:12" ht="12" customHeight="1">
      <c r="A48" s="375" t="s">
        <v>204</v>
      </c>
      <c r="B48" s="239"/>
      <c r="C48" s="239"/>
      <c r="D48" s="239"/>
      <c r="E48" s="239"/>
      <c r="F48" s="239"/>
      <c r="G48" s="239"/>
      <c r="J48" s="315"/>
      <c r="K48" s="315"/>
    </row>
    <row r="49" spans="1:11" ht="12" customHeight="1">
      <c r="A49" s="373" t="s">
        <v>18</v>
      </c>
      <c r="B49" s="239"/>
      <c r="C49" s="239"/>
      <c r="D49" s="239"/>
      <c r="E49" s="239"/>
      <c r="F49" s="239"/>
      <c r="G49" s="239"/>
      <c r="J49" s="315"/>
      <c r="K49" s="315"/>
    </row>
    <row r="50" spans="1:11" ht="12" customHeight="1">
      <c r="A50" s="374" t="s">
        <v>202</v>
      </c>
      <c r="J50" s="315"/>
      <c r="K50" s="315"/>
    </row>
    <row r="51" spans="1:11">
      <c r="A51" s="120" t="s">
        <v>197</v>
      </c>
      <c r="B51" s="232"/>
      <c r="C51" s="232"/>
      <c r="D51" s="214"/>
      <c r="E51" s="232"/>
      <c r="F51" s="214"/>
      <c r="G51" s="214"/>
      <c r="H51" s="211"/>
      <c r="I51" s="211"/>
      <c r="J51" s="315"/>
      <c r="K51" s="315"/>
    </row>
    <row r="52" spans="1:11">
      <c r="A52" s="230"/>
      <c r="H52" s="215"/>
      <c r="I52" s="215"/>
      <c r="J52" s="215"/>
      <c r="K52" s="371" t="s">
        <v>133</v>
      </c>
    </row>
    <row r="53" spans="1:11">
      <c r="A53" s="216" t="s">
        <v>61</v>
      </c>
      <c r="B53" s="104">
        <v>2015</v>
      </c>
      <c r="C53" s="104">
        <v>2016</v>
      </c>
      <c r="D53" s="104">
        <v>2017</v>
      </c>
      <c r="E53" s="104">
        <v>2018</v>
      </c>
      <c r="F53" s="104">
        <v>2019</v>
      </c>
      <c r="G53" s="104">
        <v>2020</v>
      </c>
      <c r="H53" s="104">
        <v>2021</v>
      </c>
      <c r="I53" s="104" t="s">
        <v>200</v>
      </c>
      <c r="J53" s="104" t="s">
        <v>201</v>
      </c>
      <c r="K53" s="104" t="s">
        <v>182</v>
      </c>
    </row>
    <row r="54" spans="1:11">
      <c r="A54" s="240" t="s">
        <v>62</v>
      </c>
      <c r="B54" s="293">
        <v>13.6</v>
      </c>
      <c r="C54" s="293">
        <v>5.3</v>
      </c>
      <c r="D54" s="293">
        <v>6.2</v>
      </c>
      <c r="E54" s="293">
        <v>7</v>
      </c>
      <c r="F54" s="293">
        <v>5.6</v>
      </c>
      <c r="G54" s="293">
        <v>3.1</v>
      </c>
      <c r="H54" s="293">
        <v>6</v>
      </c>
      <c r="I54" s="293">
        <v>8.1</v>
      </c>
      <c r="J54" s="293">
        <v>2</v>
      </c>
      <c r="K54" s="293">
        <v>0.4</v>
      </c>
    </row>
    <row r="55" spans="1:11">
      <c r="A55" s="217" t="s">
        <v>63</v>
      </c>
      <c r="B55" s="235">
        <v>6.1</v>
      </c>
      <c r="C55" s="235">
        <v>4.5999999999999996</v>
      </c>
      <c r="D55" s="24">
        <v>4.8</v>
      </c>
      <c r="E55" s="24">
        <v>5.0999999999999996</v>
      </c>
      <c r="F55" s="235">
        <v>5</v>
      </c>
      <c r="G55" s="235">
        <v>-1.6</v>
      </c>
      <c r="H55" s="235">
        <v>6.3</v>
      </c>
      <c r="I55" s="235">
        <v>2.5</v>
      </c>
      <c r="J55" s="235">
        <v>7.6</v>
      </c>
      <c r="K55" s="235">
        <v>7</v>
      </c>
    </row>
    <row r="56" spans="1:11">
      <c r="A56" s="217" t="s">
        <v>146</v>
      </c>
      <c r="B56" s="235">
        <v>-9.8000000000000007</v>
      </c>
      <c r="C56" s="235">
        <v>-0.8</v>
      </c>
      <c r="D56" s="24">
        <v>11.4</v>
      </c>
      <c r="E56" s="24">
        <v>-14.4</v>
      </c>
      <c r="F56" s="235">
        <v>3.6</v>
      </c>
      <c r="G56" s="235">
        <v>1.5</v>
      </c>
      <c r="H56" s="235">
        <v>-7.7</v>
      </c>
      <c r="I56" s="235">
        <v>-10.6</v>
      </c>
      <c r="J56" s="235">
        <v>1.1000000000000001</v>
      </c>
      <c r="K56" s="235">
        <v>-2.2000000000000002</v>
      </c>
    </row>
    <row r="57" spans="1:11">
      <c r="A57" s="217" t="s">
        <v>47</v>
      </c>
      <c r="B57" s="235">
        <v>0.1</v>
      </c>
      <c r="C57" s="235">
        <v>-3.8</v>
      </c>
      <c r="D57" s="235">
        <v>8</v>
      </c>
      <c r="E57" s="235">
        <v>-0.4</v>
      </c>
      <c r="F57" s="235">
        <v>4.5</v>
      </c>
      <c r="G57" s="235">
        <v>2.2999999999999998</v>
      </c>
      <c r="H57" s="235">
        <v>10.8</v>
      </c>
      <c r="I57" s="235">
        <v>-0.8</v>
      </c>
      <c r="J57" s="235">
        <v>1.9</v>
      </c>
      <c r="K57" s="235">
        <v>6.2</v>
      </c>
    </row>
    <row r="58" spans="1:11" s="273" customFormat="1">
      <c r="A58" s="274" t="s">
        <v>64</v>
      </c>
      <c r="B58" s="294">
        <v>4.5999999999999996</v>
      </c>
      <c r="C58" s="294">
        <v>3</v>
      </c>
      <c r="D58" s="294">
        <v>6.3</v>
      </c>
      <c r="E58" s="294">
        <v>3.7</v>
      </c>
      <c r="F58" s="294">
        <v>5.0999999999999996</v>
      </c>
      <c r="G58" s="294">
        <v>-0.5</v>
      </c>
      <c r="H58" s="294">
        <v>7.4</v>
      </c>
      <c r="I58" s="294">
        <v>2.1</v>
      </c>
      <c r="J58" s="294">
        <v>4.4000000000000004</v>
      </c>
      <c r="K58" s="294">
        <v>6.1</v>
      </c>
    </row>
    <row r="59" spans="1:11">
      <c r="A59" s="217" t="s">
        <v>65</v>
      </c>
      <c r="B59" s="235">
        <v>-2.2000000000000002</v>
      </c>
      <c r="C59" s="235">
        <v>-6.6</v>
      </c>
      <c r="D59" s="235">
        <v>-1</v>
      </c>
      <c r="E59" s="235">
        <v>6.8</v>
      </c>
      <c r="F59" s="235">
        <v>-3.2</v>
      </c>
      <c r="G59" s="235">
        <v>9.5</v>
      </c>
      <c r="H59" s="235">
        <v>16.600000000000001</v>
      </c>
      <c r="I59" s="235">
        <v>20.8</v>
      </c>
      <c r="J59" s="235">
        <v>11.7</v>
      </c>
      <c r="K59" s="235">
        <v>7.5</v>
      </c>
    </row>
    <row r="60" spans="1:11">
      <c r="A60" s="217" t="s">
        <v>66</v>
      </c>
      <c r="B60" s="235">
        <v>-4.5999999999999996</v>
      </c>
      <c r="C60" s="235">
        <v>-7.4</v>
      </c>
      <c r="D60" s="235">
        <v>12.4</v>
      </c>
      <c r="E60" s="235">
        <v>1.4</v>
      </c>
      <c r="F60" s="235">
        <v>1.8</v>
      </c>
      <c r="G60" s="235">
        <v>-2.2000000000000002</v>
      </c>
      <c r="H60" s="235">
        <v>23.1</v>
      </c>
      <c r="I60" s="235">
        <v>10.9</v>
      </c>
      <c r="J60" s="235">
        <v>1.3</v>
      </c>
      <c r="K60" s="235">
        <v>2.7</v>
      </c>
    </row>
    <row r="61" spans="1:11" s="312" customFormat="1">
      <c r="A61" s="223" t="s">
        <v>26</v>
      </c>
      <c r="B61" s="238">
        <v>5</v>
      </c>
      <c r="C61" s="238">
        <v>4.2</v>
      </c>
      <c r="D61" s="238">
        <v>3.8</v>
      </c>
      <c r="E61" s="238">
        <v>5.6</v>
      </c>
      <c r="F61" s="238">
        <v>5.0999999999999996</v>
      </c>
      <c r="G61" s="238">
        <v>-0.3</v>
      </c>
      <c r="H61" s="238">
        <v>7.6</v>
      </c>
      <c r="I61" s="238">
        <v>4.9000000000000004</v>
      </c>
      <c r="J61" s="238">
        <v>5.7</v>
      </c>
      <c r="K61" s="238">
        <v>4.7</v>
      </c>
    </row>
    <row r="62" spans="1:11" ht="12" customHeight="1">
      <c r="A62" s="373" t="s">
        <v>18</v>
      </c>
      <c r="J62" s="315"/>
      <c r="K62" s="315"/>
    </row>
    <row r="63" spans="1:11" ht="12" customHeight="1">
      <c r="A63" s="374" t="s">
        <v>202</v>
      </c>
      <c r="B63" s="239"/>
      <c r="C63" s="239"/>
      <c r="D63" s="239"/>
      <c r="E63" s="239"/>
      <c r="F63" s="239"/>
      <c r="G63" s="239"/>
    </row>
  </sheetData>
  <pageMargins left="0.74803149606299202" right="0.23622047244094499" top="0.74803149606299202" bottom="0.511811023622047" header="0.23622047244094499" footer="0.23622047244094499"/>
  <pageSetup paperSize="9" scale="55" firstPageNumber="14" orientation="portrait" useFirstPageNumber="1" r:id="rId1"/>
  <rowBreaks count="1" manualBreakCount="1">
    <brk id="68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showGridLines="0" zoomScale="90" zoomScaleNormal="9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5" sqref="I5:I13"/>
    </sheetView>
  </sheetViews>
  <sheetFormatPr defaultColWidth="9.109375" defaultRowHeight="13.2"/>
  <cols>
    <col min="1" max="1" width="54.44140625" style="253" customWidth="1"/>
    <col min="2" max="9" width="9.109375" style="253" customWidth="1"/>
    <col min="10" max="11" width="9.109375" style="317" customWidth="1"/>
    <col min="12" max="16384" width="9.109375" style="253"/>
  </cols>
  <sheetData>
    <row r="1" spans="1:11">
      <c r="A1" s="241" t="s">
        <v>106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</row>
    <row r="2" spans="1:11">
      <c r="A2" s="243" t="s">
        <v>194</v>
      </c>
      <c r="B2" s="244"/>
      <c r="C2" s="244"/>
      <c r="D2" s="244"/>
      <c r="E2" s="244"/>
      <c r="F2" s="244"/>
      <c r="G2" s="244"/>
      <c r="H2" s="244"/>
      <c r="I2" s="244"/>
    </row>
    <row r="3" spans="1:11">
      <c r="A3" s="245"/>
      <c r="B3" s="246"/>
      <c r="C3" s="246"/>
      <c r="D3" s="246"/>
      <c r="E3" s="246"/>
      <c r="F3" s="246"/>
      <c r="G3" s="246"/>
      <c r="H3" s="247"/>
      <c r="I3" s="247"/>
      <c r="J3" s="247"/>
      <c r="K3" s="376" t="s">
        <v>60</v>
      </c>
    </row>
    <row r="4" spans="1:11" ht="12.9" customHeight="1">
      <c r="A4" s="248" t="s">
        <v>69</v>
      </c>
      <c r="B4" s="358">
        <v>2015</v>
      </c>
      <c r="C4" s="104">
        <v>2016</v>
      </c>
      <c r="D4" s="104">
        <v>2017</v>
      </c>
      <c r="E4" s="104">
        <v>2018</v>
      </c>
      <c r="F4" s="104">
        <v>2019</v>
      </c>
      <c r="G4" s="104">
        <v>2020</v>
      </c>
      <c r="H4" s="104">
        <v>2021</v>
      </c>
      <c r="I4" s="104" t="s">
        <v>179</v>
      </c>
      <c r="J4" s="104" t="s">
        <v>181</v>
      </c>
      <c r="K4" s="104" t="s">
        <v>182</v>
      </c>
    </row>
    <row r="5" spans="1:11" ht="12.9" customHeight="1">
      <c r="A5" s="249" t="s">
        <v>123</v>
      </c>
      <c r="B5" s="300">
        <v>371357</v>
      </c>
      <c r="C5" s="300">
        <v>401847</v>
      </c>
      <c r="D5" s="299">
        <v>438881</v>
      </c>
      <c r="E5" s="299">
        <v>494867</v>
      </c>
      <c r="F5" s="300">
        <v>544309.8125</v>
      </c>
      <c r="G5" s="299">
        <v>671668.625</v>
      </c>
      <c r="H5" s="299">
        <v>782249.125</v>
      </c>
      <c r="I5" s="299">
        <v>857322.5</v>
      </c>
      <c r="J5" s="353">
        <v>902523.75</v>
      </c>
      <c r="K5" s="353">
        <v>940466.75</v>
      </c>
    </row>
    <row r="6" spans="1:11" ht="12.9" customHeight="1">
      <c r="A6" s="249" t="s">
        <v>124</v>
      </c>
      <c r="B6" s="302">
        <v>122422</v>
      </c>
      <c r="C6" s="302">
        <v>134091</v>
      </c>
      <c r="D6" s="301">
        <v>144429</v>
      </c>
      <c r="E6" s="301">
        <v>162595</v>
      </c>
      <c r="F6" s="302">
        <v>178414.90625</v>
      </c>
      <c r="G6" s="301">
        <v>218279.125</v>
      </c>
      <c r="H6" s="301">
        <v>252396.453125</v>
      </c>
      <c r="I6" s="301">
        <v>276188.65625</v>
      </c>
      <c r="J6" s="354">
        <v>289181.125</v>
      </c>
      <c r="K6" s="354">
        <v>301348.9375</v>
      </c>
    </row>
    <row r="7" spans="1:11" ht="12.9" customHeight="1">
      <c r="A7" s="249" t="s">
        <v>125</v>
      </c>
      <c r="B7" s="302">
        <v>243354</v>
      </c>
      <c r="C7" s="302">
        <v>331930</v>
      </c>
      <c r="D7" s="301">
        <v>424861</v>
      </c>
      <c r="E7" s="301">
        <v>483791</v>
      </c>
      <c r="F7" s="302">
        <v>561004.4375</v>
      </c>
      <c r="G7" s="302">
        <v>594450.0625</v>
      </c>
      <c r="H7" s="302">
        <v>631740.75</v>
      </c>
      <c r="I7" s="302">
        <v>729192.9375</v>
      </c>
      <c r="J7" s="354">
        <v>742216.25</v>
      </c>
      <c r="K7" s="354">
        <v>730575.5625</v>
      </c>
    </row>
    <row r="8" spans="1:11" ht="12.9" customHeight="1">
      <c r="A8" s="249" t="s">
        <v>71</v>
      </c>
      <c r="B8" s="302">
        <v>356295</v>
      </c>
      <c r="C8" s="302">
        <v>208995</v>
      </c>
      <c r="D8" s="301">
        <v>257057</v>
      </c>
      <c r="E8" s="301">
        <v>242356</v>
      </c>
      <c r="F8" s="302">
        <v>273876.46875</v>
      </c>
      <c r="G8" s="301">
        <v>218783.9375</v>
      </c>
      <c r="H8" s="301">
        <v>306147.03125</v>
      </c>
      <c r="I8" s="301">
        <v>252653.59375</v>
      </c>
      <c r="J8" s="354">
        <v>249668.015625</v>
      </c>
      <c r="K8" s="354">
        <v>371705.25</v>
      </c>
    </row>
    <row r="9" spans="1:11" ht="12.9" customHeight="1">
      <c r="A9" s="249" t="s">
        <v>126</v>
      </c>
      <c r="B9" s="302">
        <v>89351</v>
      </c>
      <c r="C9" s="302">
        <v>95100</v>
      </c>
      <c r="D9" s="301">
        <v>108146</v>
      </c>
      <c r="E9" s="301">
        <v>88813</v>
      </c>
      <c r="F9" s="302">
        <v>95562.7421875</v>
      </c>
      <c r="G9" s="301">
        <v>92961.078125</v>
      </c>
      <c r="H9" s="301">
        <v>98243.609375</v>
      </c>
      <c r="I9" s="301">
        <v>104199.2265625</v>
      </c>
      <c r="J9" s="354">
        <v>112533.640625</v>
      </c>
      <c r="K9" s="354">
        <v>134899.09375</v>
      </c>
    </row>
    <row r="10" spans="1:11" ht="12.9" customHeight="1">
      <c r="A10" s="250" t="s">
        <v>72</v>
      </c>
      <c r="B10" s="302">
        <v>266124</v>
      </c>
      <c r="C10" s="302">
        <v>246478</v>
      </c>
      <c r="D10" s="301">
        <v>270778</v>
      </c>
      <c r="E10" s="301">
        <v>270493</v>
      </c>
      <c r="F10" s="302">
        <v>259340</v>
      </c>
      <c r="G10" s="301">
        <v>237636.109375</v>
      </c>
      <c r="H10" s="301">
        <v>263767.09375</v>
      </c>
      <c r="I10" s="301">
        <v>252800.984375</v>
      </c>
      <c r="J10" s="354">
        <v>271359.9375</v>
      </c>
      <c r="K10" s="354">
        <v>303169.9375</v>
      </c>
    </row>
    <row r="11" spans="1:11" ht="12.9" customHeight="1">
      <c r="A11" s="250" t="s">
        <v>127</v>
      </c>
      <c r="B11" s="302">
        <v>14356</v>
      </c>
      <c r="C11" s="302">
        <v>17498</v>
      </c>
      <c r="D11" s="301">
        <v>8741</v>
      </c>
      <c r="E11" s="301">
        <v>13624</v>
      </c>
      <c r="F11" s="302">
        <v>8728.4111328125</v>
      </c>
      <c r="G11" s="301">
        <v>17829.287109375</v>
      </c>
      <c r="H11" s="301">
        <v>16696.826171875</v>
      </c>
      <c r="I11" s="301">
        <v>20409.330078125</v>
      </c>
      <c r="J11" s="354">
        <v>36305.60546875</v>
      </c>
      <c r="K11" s="354">
        <v>40917.06640625</v>
      </c>
    </row>
    <row r="12" spans="1:11" ht="12.9" customHeight="1">
      <c r="A12" s="250" t="s">
        <v>128</v>
      </c>
      <c r="B12" s="302">
        <v>7866</v>
      </c>
      <c r="C12" s="302">
        <v>8269</v>
      </c>
      <c r="D12" s="301">
        <v>8922</v>
      </c>
      <c r="E12" s="301">
        <v>9615</v>
      </c>
      <c r="F12" s="302">
        <v>10001.423828125</v>
      </c>
      <c r="G12" s="301">
        <v>10301.255859375</v>
      </c>
      <c r="H12" s="301">
        <v>9476.2548828125</v>
      </c>
      <c r="I12" s="301">
        <v>9978.5361328125</v>
      </c>
      <c r="J12" s="354">
        <v>14429.6865234375</v>
      </c>
      <c r="K12" s="354">
        <v>15630.7900390625</v>
      </c>
    </row>
    <row r="13" spans="1:11" ht="12.9" customHeight="1">
      <c r="A13" s="250" t="s">
        <v>122</v>
      </c>
      <c r="B13" s="302">
        <v>49690</v>
      </c>
      <c r="C13" s="302">
        <v>28414</v>
      </c>
      <c r="D13" s="301">
        <v>26018</v>
      </c>
      <c r="E13" s="301">
        <v>17657</v>
      </c>
      <c r="F13" s="302">
        <v>9995.5888671875</v>
      </c>
      <c r="G13" s="301">
        <v>8411.73046875</v>
      </c>
      <c r="H13" s="301">
        <v>7079.4443359375</v>
      </c>
      <c r="I13" s="301">
        <v>7035.6376953125</v>
      </c>
      <c r="J13" s="354">
        <v>7221.69287109375</v>
      </c>
      <c r="K13" s="354">
        <v>6831.6279296875</v>
      </c>
    </row>
    <row r="14" spans="1:11" ht="12.9" customHeight="1">
      <c r="A14" s="251" t="s">
        <v>46</v>
      </c>
      <c r="B14" s="252">
        <v>1520817</v>
      </c>
      <c r="C14" s="252">
        <v>1472621</v>
      </c>
      <c r="D14" s="252">
        <v>1687833</v>
      </c>
      <c r="E14" s="252">
        <v>1783811</v>
      </c>
      <c r="F14" s="279">
        <v>1941233.791015625</v>
      </c>
      <c r="G14" s="252">
        <v>2070321.2109375</v>
      </c>
      <c r="H14" s="252">
        <v>2367796.587890625</v>
      </c>
      <c r="I14" s="252">
        <v>2509781.40234375</v>
      </c>
      <c r="J14" s="355">
        <v>2625439.7036132813</v>
      </c>
      <c r="K14" s="355">
        <v>2845545.015625</v>
      </c>
    </row>
    <row r="15" spans="1:11" ht="11.85" customHeight="1">
      <c r="A15" s="363" t="s">
        <v>18</v>
      </c>
      <c r="B15" s="268"/>
      <c r="C15" s="268"/>
      <c r="D15" s="254"/>
      <c r="E15" s="254"/>
      <c r="F15" s="254"/>
      <c r="G15" s="254"/>
      <c r="H15" s="254"/>
      <c r="I15" s="254"/>
      <c r="J15" s="318"/>
      <c r="K15" s="318"/>
    </row>
    <row r="16" spans="1:11" ht="11.85" customHeight="1">
      <c r="A16" s="364" t="s">
        <v>196</v>
      </c>
      <c r="B16" s="319"/>
      <c r="C16" s="319"/>
      <c r="D16" s="319"/>
      <c r="E16" s="319"/>
      <c r="F16" s="319"/>
      <c r="G16" s="319"/>
      <c r="H16" s="319"/>
      <c r="I16" s="319"/>
    </row>
    <row r="17" spans="1:11">
      <c r="A17" s="243" t="s">
        <v>189</v>
      </c>
      <c r="B17" s="244"/>
      <c r="C17" s="244"/>
      <c r="D17" s="244"/>
      <c r="E17" s="244"/>
      <c r="F17" s="244"/>
      <c r="G17" s="244"/>
      <c r="H17" s="244"/>
      <c r="I17" s="244"/>
    </row>
    <row r="18" spans="1:11">
      <c r="A18" s="245"/>
      <c r="B18" s="246"/>
      <c r="C18" s="246"/>
      <c r="D18" s="246"/>
      <c r="E18" s="246"/>
      <c r="F18" s="246"/>
      <c r="G18" s="244"/>
      <c r="H18" s="255"/>
      <c r="I18" s="255"/>
      <c r="K18" s="377" t="s">
        <v>132</v>
      </c>
    </row>
    <row r="19" spans="1:11" ht="12.9" customHeight="1">
      <c r="A19" s="248" t="s">
        <v>61</v>
      </c>
      <c r="B19" s="358">
        <v>2015</v>
      </c>
      <c r="C19" s="104">
        <v>2016</v>
      </c>
      <c r="D19" s="104">
        <v>2017</v>
      </c>
      <c r="E19" s="104">
        <v>2018</v>
      </c>
      <c r="F19" s="104">
        <v>2019</v>
      </c>
      <c r="G19" s="104">
        <v>2020</v>
      </c>
      <c r="H19" s="104">
        <v>2021</v>
      </c>
      <c r="I19" s="104" t="s">
        <v>179</v>
      </c>
      <c r="J19" s="104" t="s">
        <v>181</v>
      </c>
      <c r="K19" s="104" t="s">
        <v>182</v>
      </c>
    </row>
    <row r="20" spans="1:11" ht="12.9" customHeight="1">
      <c r="A20" s="249" t="s">
        <v>123</v>
      </c>
      <c r="B20" s="303">
        <v>24.4</v>
      </c>
      <c r="C20" s="303">
        <v>27.3</v>
      </c>
      <c r="D20" s="303">
        <v>26</v>
      </c>
      <c r="E20" s="303">
        <v>27.7</v>
      </c>
      <c r="F20" s="303">
        <v>28.039374495702813</v>
      </c>
      <c r="G20" s="303">
        <v>32.442725382495091</v>
      </c>
      <c r="H20" s="303">
        <v>33.037007021657814</v>
      </c>
      <c r="I20" s="303">
        <v>34.159249853369403</v>
      </c>
      <c r="J20" s="320">
        <v>34.376098935271486</v>
      </c>
      <c r="K20" s="320">
        <v>33.05049629634604</v>
      </c>
    </row>
    <row r="21" spans="1:11" ht="12.9" customHeight="1">
      <c r="A21" s="249" t="s">
        <v>124</v>
      </c>
      <c r="B21" s="304">
        <v>8</v>
      </c>
      <c r="C21" s="304">
        <v>9.1</v>
      </c>
      <c r="D21" s="304">
        <v>8.6</v>
      </c>
      <c r="E21" s="304">
        <v>9.1</v>
      </c>
      <c r="F21" s="304">
        <v>9.1907995356219274</v>
      </c>
      <c r="G21" s="304">
        <v>10.543249223687228</v>
      </c>
      <c r="H21" s="304">
        <v>10.659549659620462</v>
      </c>
      <c r="I21" s="304">
        <v>11.00449051029234</v>
      </c>
      <c r="J21" s="320">
        <v>11.014578799963004</v>
      </c>
      <c r="K21" s="320">
        <v>10.590201028108186</v>
      </c>
    </row>
    <row r="22" spans="1:11" ht="12.9" customHeight="1">
      <c r="A22" s="249" t="s">
        <v>125</v>
      </c>
      <c r="B22" s="304">
        <v>16</v>
      </c>
      <c r="C22" s="304">
        <v>22.5</v>
      </c>
      <c r="D22" s="304">
        <v>25.2</v>
      </c>
      <c r="E22" s="304">
        <v>27.1</v>
      </c>
      <c r="F22" s="304">
        <v>28.899375237358232</v>
      </c>
      <c r="G22" s="304">
        <v>28.712938811597077</v>
      </c>
      <c r="H22" s="304">
        <v>26.68053299978747</v>
      </c>
      <c r="I22" s="304">
        <v>29.054041791011993</v>
      </c>
      <c r="J22" s="320">
        <v>28.270169335007743</v>
      </c>
      <c r="K22" s="320">
        <v>25.674363205937027</v>
      </c>
    </row>
    <row r="23" spans="1:11" ht="12.9" customHeight="1">
      <c r="A23" s="249" t="s">
        <v>71</v>
      </c>
      <c r="B23" s="304">
        <v>23.4</v>
      </c>
      <c r="C23" s="304">
        <v>14.2</v>
      </c>
      <c r="D23" s="304">
        <v>15.2</v>
      </c>
      <c r="E23" s="304">
        <v>13.6</v>
      </c>
      <c r="F23" s="304">
        <v>14.108371182159974</v>
      </c>
      <c r="G23" s="304">
        <v>10.567632517319787</v>
      </c>
      <c r="H23" s="304">
        <v>12.929617046316217</v>
      </c>
      <c r="I23" s="304">
        <v>10.066756949990161</v>
      </c>
      <c r="J23" s="320">
        <v>9.5095695887204155</v>
      </c>
      <c r="K23" s="320">
        <v>13.062708477952443</v>
      </c>
    </row>
    <row r="24" spans="1:11" ht="12.9" customHeight="1">
      <c r="A24" s="249" t="s">
        <v>126</v>
      </c>
      <c r="B24" s="304">
        <v>5.9</v>
      </c>
      <c r="C24" s="304">
        <v>6.5</v>
      </c>
      <c r="D24" s="304">
        <v>6.4</v>
      </c>
      <c r="E24" s="304">
        <v>5</v>
      </c>
      <c r="F24" s="304">
        <v>4.9227837795623257</v>
      </c>
      <c r="G24" s="304">
        <v>4.4901765790683559</v>
      </c>
      <c r="H24" s="304">
        <v>4.1491574858008091</v>
      </c>
      <c r="I24" s="304">
        <v>4.1517251847190337</v>
      </c>
      <c r="J24" s="320">
        <v>4.2862778554816829</v>
      </c>
      <c r="K24" s="320">
        <v>4.7407119904715529</v>
      </c>
    </row>
    <row r="25" spans="1:11" ht="12.9" customHeight="1">
      <c r="A25" s="250" t="s">
        <v>72</v>
      </c>
      <c r="B25" s="304">
        <v>17.5</v>
      </c>
      <c r="C25" s="304">
        <v>16.7</v>
      </c>
      <c r="D25" s="304">
        <v>16</v>
      </c>
      <c r="E25" s="304">
        <v>15.2</v>
      </c>
      <c r="F25" s="304">
        <v>13.359544903878739</v>
      </c>
      <c r="G25" s="304">
        <v>11.47822415766062</v>
      </c>
      <c r="H25" s="304">
        <v>11.139769991178994</v>
      </c>
      <c r="I25" s="304">
        <v>10.072629597897361</v>
      </c>
      <c r="J25" s="320">
        <v>10.335790120281141</v>
      </c>
      <c r="K25" s="320">
        <v>10.654195798530051</v>
      </c>
    </row>
    <row r="26" spans="1:11" ht="12.9" customHeight="1">
      <c r="A26" s="250" t="s">
        <v>127</v>
      </c>
      <c r="B26" s="304">
        <v>0.9</v>
      </c>
      <c r="C26" s="304">
        <v>1.2</v>
      </c>
      <c r="D26" s="304">
        <v>0.5</v>
      </c>
      <c r="E26" s="304">
        <v>0.8</v>
      </c>
      <c r="F26" s="304">
        <v>0.44963214493839626</v>
      </c>
      <c r="G26" s="304">
        <v>0.8611845840724105</v>
      </c>
      <c r="H26" s="304">
        <v>0.70516303035766814</v>
      </c>
      <c r="I26" s="304">
        <v>0.81319154166437857</v>
      </c>
      <c r="J26" s="320">
        <v>1.3828390504944423</v>
      </c>
      <c r="K26" s="320">
        <v>1.4379342509632698</v>
      </c>
    </row>
    <row r="27" spans="1:11" ht="12.9" customHeight="1">
      <c r="A27" s="250" t="s">
        <v>128</v>
      </c>
      <c r="B27" s="304">
        <v>0.5</v>
      </c>
      <c r="C27" s="304">
        <v>0.6</v>
      </c>
      <c r="D27" s="304">
        <v>0.5</v>
      </c>
      <c r="E27" s="304">
        <v>0.5</v>
      </c>
      <c r="F27" s="304">
        <v>0.51520965039931654</v>
      </c>
      <c r="G27" s="304">
        <v>0.49756800079878916</v>
      </c>
      <c r="H27" s="304">
        <v>0.40021406109274427</v>
      </c>
      <c r="I27" s="304">
        <v>0.39758586638239019</v>
      </c>
      <c r="J27" s="320">
        <v>0.54961028065426665</v>
      </c>
      <c r="K27" s="320">
        <v>0.54930742452617043</v>
      </c>
    </row>
    <row r="28" spans="1:11" ht="12.9" customHeight="1">
      <c r="A28" s="250" t="s">
        <v>122</v>
      </c>
      <c r="B28" s="304">
        <v>3.3</v>
      </c>
      <c r="C28" s="304">
        <v>1.9</v>
      </c>
      <c r="D28" s="304">
        <v>1.5</v>
      </c>
      <c r="E28" s="304">
        <v>1</v>
      </c>
      <c r="F28" s="304">
        <v>0.51490907037827505</v>
      </c>
      <c r="G28" s="304">
        <v>0.40630074330064608</v>
      </c>
      <c r="H28" s="304">
        <v>0.29898870418781592</v>
      </c>
      <c r="I28" s="304">
        <v>0.28032870467293669</v>
      </c>
      <c r="J28" s="320">
        <v>0.27506603412582054</v>
      </c>
      <c r="K28" s="320">
        <v>0.24008152716526224</v>
      </c>
    </row>
    <row r="29" spans="1:11" ht="12.9" customHeight="1">
      <c r="A29" s="256" t="s">
        <v>46</v>
      </c>
      <c r="B29" s="257">
        <v>100</v>
      </c>
      <c r="C29" s="257">
        <v>100</v>
      </c>
      <c r="D29" s="258">
        <v>100</v>
      </c>
      <c r="E29" s="258">
        <v>100</v>
      </c>
      <c r="F29" s="257">
        <v>100</v>
      </c>
      <c r="G29" s="258">
        <v>100</v>
      </c>
      <c r="H29" s="258">
        <v>100</v>
      </c>
      <c r="I29" s="258">
        <v>100</v>
      </c>
      <c r="J29" s="258">
        <v>100</v>
      </c>
      <c r="K29" s="258">
        <v>100</v>
      </c>
    </row>
    <row r="30" spans="1:11">
      <c r="A30" s="363" t="s">
        <v>18</v>
      </c>
      <c r="B30" s="259"/>
      <c r="C30" s="259"/>
      <c r="D30" s="259"/>
      <c r="E30" s="259"/>
      <c r="F30" s="259"/>
      <c r="G30" s="259"/>
      <c r="H30" s="259"/>
      <c r="I30" s="259"/>
    </row>
    <row r="31" spans="1:11">
      <c r="A31" s="364" t="s">
        <v>196</v>
      </c>
    </row>
    <row r="32" spans="1:11">
      <c r="A32" s="243" t="s">
        <v>190</v>
      </c>
      <c r="B32" s="243"/>
      <c r="C32" s="243"/>
      <c r="D32" s="243"/>
      <c r="E32" s="243"/>
      <c r="F32" s="243"/>
      <c r="G32" s="243"/>
      <c r="H32" s="244"/>
      <c r="I32" s="244"/>
    </row>
    <row r="33" spans="1:11">
      <c r="A33" s="260"/>
      <c r="B33" s="261"/>
      <c r="C33" s="261"/>
      <c r="D33" s="261"/>
      <c r="E33" s="261"/>
      <c r="F33" s="261"/>
      <c r="G33" s="261"/>
      <c r="H33" s="262"/>
      <c r="I33" s="262"/>
      <c r="K33" s="378" t="s">
        <v>145</v>
      </c>
    </row>
    <row r="34" spans="1:11" ht="12.9" customHeight="1">
      <c r="A34" s="263" t="s">
        <v>69</v>
      </c>
      <c r="B34" s="358">
        <v>2015</v>
      </c>
      <c r="C34" s="104">
        <v>2016</v>
      </c>
      <c r="D34" s="104">
        <v>2017</v>
      </c>
      <c r="E34" s="104">
        <v>2018</v>
      </c>
      <c r="F34" s="104">
        <v>2019</v>
      </c>
      <c r="G34" s="104">
        <v>2020</v>
      </c>
      <c r="H34" s="104">
        <v>2021</v>
      </c>
      <c r="I34" s="104" t="s">
        <v>179</v>
      </c>
      <c r="J34" s="104" t="s">
        <v>181</v>
      </c>
      <c r="K34" s="104" t="s">
        <v>182</v>
      </c>
    </row>
    <row r="35" spans="1:11" ht="12.9" customHeight="1">
      <c r="A35" s="249" t="s">
        <v>123</v>
      </c>
      <c r="B35" s="300">
        <v>380835</v>
      </c>
      <c r="C35" s="300">
        <v>401847</v>
      </c>
      <c r="D35" s="299">
        <v>419096</v>
      </c>
      <c r="E35" s="299">
        <v>441612</v>
      </c>
      <c r="F35" s="300">
        <v>464649.9375</v>
      </c>
      <c r="G35" s="299">
        <v>540335.3125</v>
      </c>
      <c r="H35" s="299">
        <v>599803.3125</v>
      </c>
      <c r="I35" s="299">
        <v>614366.6875</v>
      </c>
      <c r="J35" s="321">
        <v>642434.5625</v>
      </c>
      <c r="K35" s="321">
        <v>645425.9375</v>
      </c>
    </row>
    <row r="36" spans="1:11" ht="12.9" customHeight="1">
      <c r="A36" s="249" t="s">
        <v>124</v>
      </c>
      <c r="B36" s="302">
        <v>126869</v>
      </c>
      <c r="C36" s="302">
        <v>134091</v>
      </c>
      <c r="D36" s="301">
        <v>139951</v>
      </c>
      <c r="E36" s="301">
        <v>147587</v>
      </c>
      <c r="F36" s="302">
        <v>155435.640625</v>
      </c>
      <c r="G36" s="301">
        <v>180933.96875</v>
      </c>
      <c r="H36" s="301">
        <v>200693.59375</v>
      </c>
      <c r="I36" s="301">
        <v>205447.59375</v>
      </c>
      <c r="J36" s="321">
        <v>214525.875</v>
      </c>
      <c r="K36" s="321">
        <v>215591.671875</v>
      </c>
    </row>
    <row r="37" spans="1:11" ht="12.9" customHeight="1">
      <c r="A37" s="249" t="s">
        <v>125</v>
      </c>
      <c r="B37" s="302">
        <v>228845</v>
      </c>
      <c r="C37" s="302">
        <v>331930</v>
      </c>
      <c r="D37" s="301">
        <v>373632</v>
      </c>
      <c r="E37" s="301">
        <v>392377</v>
      </c>
      <c r="F37" s="302">
        <v>424843.65625</v>
      </c>
      <c r="G37" s="301">
        <v>432835.46875</v>
      </c>
      <c r="H37" s="301">
        <v>442078.59375</v>
      </c>
      <c r="I37" s="301">
        <v>467320.75</v>
      </c>
      <c r="J37" s="321">
        <v>466908.96875</v>
      </c>
      <c r="K37" s="321">
        <v>451199.96875</v>
      </c>
    </row>
    <row r="38" spans="1:11" ht="12.9" customHeight="1">
      <c r="A38" s="249" t="s">
        <v>71</v>
      </c>
      <c r="B38" s="302">
        <v>357127</v>
      </c>
      <c r="C38" s="302">
        <v>208995</v>
      </c>
      <c r="D38" s="301">
        <v>249659</v>
      </c>
      <c r="E38" s="301">
        <v>232650</v>
      </c>
      <c r="F38" s="302">
        <v>259773</v>
      </c>
      <c r="G38" s="301">
        <v>206323.359375</v>
      </c>
      <c r="H38" s="301">
        <v>290157.9375</v>
      </c>
      <c r="I38" s="301">
        <v>247218.4375</v>
      </c>
      <c r="J38" s="321">
        <v>226235.375</v>
      </c>
      <c r="K38" s="321">
        <v>318832.1875</v>
      </c>
    </row>
    <row r="39" spans="1:11" ht="12.9" customHeight="1">
      <c r="A39" s="249" t="s">
        <v>126</v>
      </c>
      <c r="B39" s="302">
        <v>92880</v>
      </c>
      <c r="C39" s="302">
        <v>95100</v>
      </c>
      <c r="D39" s="301">
        <v>103509</v>
      </c>
      <c r="E39" s="301">
        <v>80869</v>
      </c>
      <c r="F39" s="302">
        <v>87675.8671875</v>
      </c>
      <c r="G39" s="301">
        <v>86014.578125</v>
      </c>
      <c r="H39" s="301">
        <v>90511.859375</v>
      </c>
      <c r="I39" s="301">
        <v>93025.6875</v>
      </c>
      <c r="J39" s="321">
        <v>97585.6015625</v>
      </c>
      <c r="K39" s="321">
        <v>113414.4921875</v>
      </c>
    </row>
    <row r="40" spans="1:11" ht="12.9" customHeight="1">
      <c r="A40" s="250" t="s">
        <v>72</v>
      </c>
      <c r="B40" s="302">
        <v>268461</v>
      </c>
      <c r="C40" s="302">
        <v>246478</v>
      </c>
      <c r="D40" s="301">
        <v>261448</v>
      </c>
      <c r="E40" s="301">
        <v>250929</v>
      </c>
      <c r="F40" s="302">
        <v>237171.625</v>
      </c>
      <c r="G40" s="301">
        <v>214954.890625</v>
      </c>
      <c r="H40" s="301">
        <v>224903.390625</v>
      </c>
      <c r="I40" s="301">
        <v>204237.671875</v>
      </c>
      <c r="J40" s="321">
        <v>208755.15625</v>
      </c>
      <c r="K40" s="321">
        <v>229995.15625</v>
      </c>
    </row>
    <row r="41" spans="1:11" ht="12.9" customHeight="1">
      <c r="A41" s="250" t="s">
        <v>127</v>
      </c>
      <c r="B41" s="302">
        <v>15128</v>
      </c>
      <c r="C41" s="302">
        <v>17498</v>
      </c>
      <c r="D41" s="301">
        <v>8390</v>
      </c>
      <c r="E41" s="301">
        <v>12428</v>
      </c>
      <c r="F41" s="302">
        <v>8016.515625</v>
      </c>
      <c r="G41" s="301">
        <v>15706.958984375</v>
      </c>
      <c r="H41" s="301">
        <v>15179.4609375</v>
      </c>
      <c r="I41" s="301">
        <v>16107.6298828125</v>
      </c>
      <c r="J41" s="321">
        <v>24815.2890625</v>
      </c>
      <c r="K41" s="321">
        <v>25028.02734375</v>
      </c>
    </row>
    <row r="42" spans="1:11" ht="12.9" customHeight="1">
      <c r="A42" s="250" t="s">
        <v>128</v>
      </c>
      <c r="B42" s="301">
        <v>8336</v>
      </c>
      <c r="C42" s="301">
        <v>8269</v>
      </c>
      <c r="D42" s="301">
        <v>8406</v>
      </c>
      <c r="E42" s="301">
        <v>8623</v>
      </c>
      <c r="F42" s="301">
        <v>8669.55078125</v>
      </c>
      <c r="G42" s="301">
        <v>8608.654296875</v>
      </c>
      <c r="H42" s="301">
        <v>7451.04052734375</v>
      </c>
      <c r="I42" s="301">
        <v>7571.22314453125</v>
      </c>
      <c r="J42" s="321">
        <v>10469.7548828125</v>
      </c>
      <c r="K42" s="321">
        <v>10733.8935546875</v>
      </c>
    </row>
    <row r="43" spans="1:11" ht="12.9" customHeight="1">
      <c r="A43" s="250" t="s">
        <v>122</v>
      </c>
      <c r="B43" s="301">
        <v>51781</v>
      </c>
      <c r="C43" s="301">
        <v>28414</v>
      </c>
      <c r="D43" s="301">
        <v>26462</v>
      </c>
      <c r="E43" s="301">
        <v>17260</v>
      </c>
      <c r="F43" s="301">
        <v>9415.171875</v>
      </c>
      <c r="G43" s="301">
        <v>7933.7705078125</v>
      </c>
      <c r="H43" s="301">
        <v>6211.68994140625</v>
      </c>
      <c r="I43" s="301">
        <v>6077.21142578125</v>
      </c>
      <c r="J43" s="321">
        <v>5367.09423828125</v>
      </c>
      <c r="K43" s="321">
        <v>5033.73583984375</v>
      </c>
    </row>
    <row r="44" spans="1:11" ht="12.9" customHeight="1">
      <c r="A44" s="264" t="s">
        <v>46</v>
      </c>
      <c r="B44" s="252">
        <v>1530261</v>
      </c>
      <c r="C44" s="252">
        <v>1472621</v>
      </c>
      <c r="D44" s="252">
        <v>1590555</v>
      </c>
      <c r="E44" s="252">
        <v>1584335</v>
      </c>
      <c r="F44" s="252">
        <v>1655650.96484375</v>
      </c>
      <c r="G44" s="252">
        <v>1693646.9619140625</v>
      </c>
      <c r="H44" s="252">
        <v>1876990.87890625</v>
      </c>
      <c r="I44" s="252">
        <v>1861372.892578125</v>
      </c>
      <c r="J44" s="252">
        <v>1897097.6772460938</v>
      </c>
      <c r="K44" s="252">
        <v>2015255.0708007813</v>
      </c>
    </row>
    <row r="45" spans="1:11" ht="9.9" customHeight="1">
      <c r="A45" s="363" t="s">
        <v>18</v>
      </c>
      <c r="B45" s="265"/>
      <c r="C45" s="265"/>
      <c r="D45" s="265"/>
      <c r="E45" s="265"/>
      <c r="F45" s="265"/>
      <c r="G45" s="265"/>
      <c r="H45" s="265"/>
      <c r="I45" s="265"/>
    </row>
    <row r="46" spans="1:11">
      <c r="A46" s="364" t="s">
        <v>196</v>
      </c>
    </row>
    <row r="47" spans="1:11">
      <c r="A47" s="243" t="s">
        <v>191</v>
      </c>
      <c r="B47" s="243"/>
      <c r="C47" s="243"/>
      <c r="D47" s="243"/>
      <c r="E47" s="243"/>
      <c r="F47" s="243"/>
      <c r="G47" s="243"/>
      <c r="H47" s="244"/>
      <c r="I47" s="244"/>
    </row>
    <row r="48" spans="1:11">
      <c r="A48" s="260"/>
      <c r="B48" s="266"/>
      <c r="C48" s="266"/>
      <c r="D48" s="266"/>
      <c r="E48" s="266"/>
      <c r="F48" s="266"/>
      <c r="G48" s="266"/>
      <c r="H48" s="255"/>
      <c r="I48" s="255"/>
      <c r="K48" s="377" t="s">
        <v>133</v>
      </c>
    </row>
    <row r="49" spans="1:11" ht="12.9" customHeight="1">
      <c r="A49" s="263" t="s">
        <v>61</v>
      </c>
      <c r="B49" s="358">
        <v>2015</v>
      </c>
      <c r="C49" s="104">
        <v>2016</v>
      </c>
      <c r="D49" s="104">
        <v>2017</v>
      </c>
      <c r="E49" s="104">
        <v>2018</v>
      </c>
      <c r="F49" s="104">
        <v>2019</v>
      </c>
      <c r="G49" s="104">
        <v>2020</v>
      </c>
      <c r="H49" s="104">
        <v>2021</v>
      </c>
      <c r="I49" s="104" t="s">
        <v>179</v>
      </c>
      <c r="J49" s="104" t="s">
        <v>181</v>
      </c>
      <c r="K49" s="104" t="s">
        <v>182</v>
      </c>
    </row>
    <row r="50" spans="1:11" ht="12.9" customHeight="1">
      <c r="A50" s="249" t="s">
        <v>123</v>
      </c>
      <c r="B50" s="305">
        <v>6.7</v>
      </c>
      <c r="C50" s="305">
        <v>5.5</v>
      </c>
      <c r="D50" s="303">
        <v>4.3</v>
      </c>
      <c r="E50" s="303">
        <v>5.4</v>
      </c>
      <c r="F50" s="305">
        <v>5.2167899378293185</v>
      </c>
      <c r="G50" s="303">
        <v>16.288687222733131</v>
      </c>
      <c r="H50" s="303">
        <v>11.005758576994722</v>
      </c>
      <c r="I50" s="303">
        <v>2.4280251036459504</v>
      </c>
      <c r="J50" s="303">
        <v>4.5685867367279798</v>
      </c>
      <c r="K50" s="303">
        <v>0.46563108129787167</v>
      </c>
    </row>
    <row r="51" spans="1:11" ht="12.9" customHeight="1">
      <c r="A51" s="249" t="s">
        <v>124</v>
      </c>
      <c r="B51" s="306">
        <v>6.9</v>
      </c>
      <c r="C51" s="306">
        <v>5.7</v>
      </c>
      <c r="D51" s="304">
        <v>4.4000000000000004</v>
      </c>
      <c r="E51" s="304">
        <v>5.5</v>
      </c>
      <c r="F51" s="306">
        <v>5.3177860344277121</v>
      </c>
      <c r="G51" s="304">
        <v>16.404428239541673</v>
      </c>
      <c r="H51" s="304">
        <v>10.920903983100189</v>
      </c>
      <c r="I51" s="304">
        <v>2.3687851272033953</v>
      </c>
      <c r="J51" s="304">
        <v>4.4187819795285463</v>
      </c>
      <c r="K51" s="304">
        <v>0.49681506951084486</v>
      </c>
    </row>
    <row r="52" spans="1:11" ht="12.9" customHeight="1">
      <c r="A52" s="249" t="s">
        <v>125</v>
      </c>
      <c r="B52" s="306">
        <v>0.5</v>
      </c>
      <c r="C52" s="306">
        <v>45</v>
      </c>
      <c r="D52" s="304">
        <v>12.6</v>
      </c>
      <c r="E52" s="304">
        <v>5</v>
      </c>
      <c r="F52" s="306">
        <v>8.2744732618936752</v>
      </c>
      <c r="G52" s="306">
        <v>1.8811184732148121</v>
      </c>
      <c r="H52" s="306">
        <v>2.1354823408288581</v>
      </c>
      <c r="I52" s="306">
        <v>5.7098797831126546</v>
      </c>
      <c r="J52" s="306">
        <v>-8.8115336201099126E-2</v>
      </c>
      <c r="K52" s="306">
        <v>-3.3644673911610283</v>
      </c>
    </row>
    <row r="53" spans="1:11" ht="12.9" customHeight="1">
      <c r="A53" s="249" t="s">
        <v>71</v>
      </c>
      <c r="B53" s="306">
        <v>-3.1</v>
      </c>
      <c r="C53" s="306">
        <v>-41.5</v>
      </c>
      <c r="D53" s="304">
        <v>19.5</v>
      </c>
      <c r="E53" s="304">
        <v>-6.8</v>
      </c>
      <c r="F53" s="306">
        <v>11.658262480201785</v>
      </c>
      <c r="G53" s="304">
        <v>-20.575518096568928</v>
      </c>
      <c r="H53" s="304">
        <v>40.632615899117695</v>
      </c>
      <c r="I53" s="304">
        <v>-14.79866460658171</v>
      </c>
      <c r="J53" s="304">
        <v>-8.4876608363807833</v>
      </c>
      <c r="K53" s="304">
        <v>40.929413669281388</v>
      </c>
    </row>
    <row r="54" spans="1:11" ht="12.9" customHeight="1">
      <c r="A54" s="249" t="s">
        <v>126</v>
      </c>
      <c r="B54" s="306">
        <v>17</v>
      </c>
      <c r="C54" s="306">
        <v>2.4</v>
      </c>
      <c r="D54" s="304">
        <v>8.8000000000000007</v>
      </c>
      <c r="E54" s="304">
        <v>-21.9</v>
      </c>
      <c r="F54" s="306">
        <v>8.4177496757614563</v>
      </c>
      <c r="G54" s="304">
        <v>-1.8948076771767006</v>
      </c>
      <c r="H54" s="304">
        <v>5.2285105013993842</v>
      </c>
      <c r="I54" s="304">
        <v>2.7773466840239678</v>
      </c>
      <c r="J54" s="304">
        <v>4.9017794816082301</v>
      </c>
      <c r="K54" s="304">
        <v>16.220518571955694</v>
      </c>
    </row>
    <row r="55" spans="1:11" ht="12.9" customHeight="1">
      <c r="A55" s="250" t="s">
        <v>72</v>
      </c>
      <c r="B55" s="306">
        <v>1</v>
      </c>
      <c r="C55" s="306">
        <v>-8.1999999999999993</v>
      </c>
      <c r="D55" s="304">
        <v>6.1</v>
      </c>
      <c r="E55" s="304">
        <v>-4</v>
      </c>
      <c r="F55" s="306">
        <v>-5.4826767976757367</v>
      </c>
      <c r="G55" s="304">
        <v>-9.3673660898516005</v>
      </c>
      <c r="H55" s="304">
        <v>4.6281803456873547</v>
      </c>
      <c r="I55" s="304">
        <v>-9.1887092909406931</v>
      </c>
      <c r="J55" s="304">
        <v>2.2118761605179458</v>
      </c>
      <c r="K55" s="304">
        <v>10.174598980713796</v>
      </c>
    </row>
    <row r="56" spans="1:11" ht="12.9" customHeight="1">
      <c r="A56" s="250" t="s">
        <v>127</v>
      </c>
      <c r="B56" s="306">
        <v>792.1</v>
      </c>
      <c r="C56" s="306">
        <v>15.7</v>
      </c>
      <c r="D56" s="304">
        <v>-52</v>
      </c>
      <c r="E56" s="304">
        <v>48.1</v>
      </c>
      <c r="F56" s="304">
        <v>-35.498183848568956</v>
      </c>
      <c r="G56" s="304">
        <v>95.932493855458546</v>
      </c>
      <c r="H56" s="304">
        <v>-3.3583715816648265</v>
      </c>
      <c r="I56" s="304">
        <v>6.114637068695302</v>
      </c>
      <c r="J56" s="304">
        <v>54.059220649084608</v>
      </c>
      <c r="K56" s="304">
        <v>0.85728713743449703</v>
      </c>
    </row>
    <row r="57" spans="1:11" ht="12.9" customHeight="1">
      <c r="A57" s="250" t="s">
        <v>128</v>
      </c>
      <c r="B57" s="304">
        <v>-1.3</v>
      </c>
      <c r="C57" s="304">
        <v>-0.8</v>
      </c>
      <c r="D57" s="304">
        <v>1.7</v>
      </c>
      <c r="E57" s="304">
        <v>2.6</v>
      </c>
      <c r="F57" s="304">
        <v>0.53866023046739997</v>
      </c>
      <c r="G57" s="304">
        <v>-0.70241799040732644</v>
      </c>
      <c r="H57" s="304">
        <v>-13.447093234438185</v>
      </c>
      <c r="I57" s="304">
        <v>1.6129642128029644</v>
      </c>
      <c r="J57" s="304">
        <v>38.283533359796451</v>
      </c>
      <c r="K57" s="304">
        <v>2.5228735040265349</v>
      </c>
    </row>
    <row r="58" spans="1:11" ht="12.9" customHeight="1">
      <c r="A58" s="250" t="s">
        <v>122</v>
      </c>
      <c r="B58" s="304">
        <v>-49</v>
      </c>
      <c r="C58" s="304">
        <v>-45.1</v>
      </c>
      <c r="D58" s="304">
        <v>-6.9</v>
      </c>
      <c r="E58" s="304">
        <v>-34.799999999999997</v>
      </c>
      <c r="F58" s="304">
        <v>-45.451317359543793</v>
      </c>
      <c r="G58" s="304">
        <v>-15.734193563911973</v>
      </c>
      <c r="H58" s="304">
        <v>-21.705701780893364</v>
      </c>
      <c r="I58" s="304">
        <v>-2.1649264031771054</v>
      </c>
      <c r="J58" s="304">
        <v>-11.684918258520383</v>
      </c>
      <c r="K58" s="304">
        <v>-6.2111523226067789</v>
      </c>
    </row>
    <row r="59" spans="1:11">
      <c r="A59" s="264" t="s">
        <v>46</v>
      </c>
      <c r="B59" s="258">
        <v>0.1</v>
      </c>
      <c r="C59" s="258">
        <v>-3.8</v>
      </c>
      <c r="D59" s="258">
        <v>8</v>
      </c>
      <c r="E59" s="258">
        <v>-0.4</v>
      </c>
      <c r="F59" s="258">
        <v>4.5013020990519976</v>
      </c>
      <c r="G59" s="258">
        <v>2.2949279695493345</v>
      </c>
      <c r="H59" s="258">
        <v>10.825391661611846</v>
      </c>
      <c r="I59" s="258">
        <v>-0.83207577104614927</v>
      </c>
      <c r="J59" s="258">
        <v>1.9192707066066532</v>
      </c>
      <c r="K59" s="258">
        <v>6.2283241907823026</v>
      </c>
    </row>
    <row r="60" spans="1:11" ht="13.5" customHeight="1">
      <c r="A60" s="363" t="s">
        <v>18</v>
      </c>
      <c r="B60" s="307"/>
      <c r="C60" s="307"/>
      <c r="D60" s="307"/>
      <c r="E60" s="307"/>
      <c r="F60" s="307"/>
      <c r="G60" s="307"/>
      <c r="H60" s="307"/>
      <c r="I60" s="307"/>
    </row>
    <row r="61" spans="1:11">
      <c r="A61" s="364" t="s">
        <v>196</v>
      </c>
    </row>
  </sheetData>
  <pageMargins left="0.74803149606299202" right="0.511811023622047" top="0.74803149606299202" bottom="0.511811023622047" header="0.511811023622047" footer="0.23622047244094499"/>
  <pageSetup paperSize="9" scale="44" firstPageNumber="15" orientation="portrait" useFirstPageNumber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showGridLines="0" tabSelected="1" zoomScale="82" zoomScaleNormal="82" zoomScaleSheetLayoutView="6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47" sqref="M47"/>
    </sheetView>
  </sheetViews>
  <sheetFormatPr defaultColWidth="8.77734375" defaultRowHeight="14.4"/>
  <cols>
    <col min="1" max="1" width="60.88671875" style="6" bestFit="1" customWidth="1"/>
    <col min="2" max="10" width="9.88671875" style="6" customWidth="1"/>
    <col min="11" max="11" width="11.88671875" style="6" customWidth="1"/>
    <col min="12" max="12" width="13.44140625" style="6" customWidth="1"/>
    <col min="13" max="16384" width="8.77734375" style="310"/>
  </cols>
  <sheetData>
    <row r="1" spans="1:12">
      <c r="A1" s="79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2">
      <c r="A2" s="84" t="s">
        <v>192</v>
      </c>
      <c r="B2" s="82"/>
      <c r="C2" s="82"/>
      <c r="D2" s="82"/>
      <c r="E2" s="82"/>
      <c r="F2" s="82"/>
      <c r="G2" s="82"/>
      <c r="H2" s="82"/>
      <c r="I2" s="82"/>
      <c r="J2" s="370" t="s">
        <v>60</v>
      </c>
      <c r="K2" s="370"/>
      <c r="L2" s="325"/>
    </row>
    <row r="3" spans="1:12" ht="15.6">
      <c r="A3" s="326"/>
      <c r="B3" s="104">
        <v>2015</v>
      </c>
      <c r="C3" s="104">
        <v>2016</v>
      </c>
      <c r="D3" s="104">
        <v>2017</v>
      </c>
      <c r="E3" s="104">
        <v>2018</v>
      </c>
      <c r="F3" s="104">
        <v>2019</v>
      </c>
      <c r="G3" s="104">
        <v>2020</v>
      </c>
      <c r="H3" s="104">
        <v>2021</v>
      </c>
      <c r="I3" s="104" t="s">
        <v>179</v>
      </c>
      <c r="J3" s="104" t="s">
        <v>181</v>
      </c>
      <c r="K3" s="104" t="s">
        <v>182</v>
      </c>
    </row>
    <row r="4" spans="1:12">
      <c r="A4" s="35" t="s">
        <v>142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</row>
    <row r="5" spans="1:12">
      <c r="A5" s="328" t="s">
        <v>20</v>
      </c>
      <c r="B5" s="38">
        <v>1853415</v>
      </c>
      <c r="C5" s="38">
        <v>2131816</v>
      </c>
      <c r="D5" s="38">
        <v>2396166</v>
      </c>
      <c r="E5" s="38">
        <v>2694738</v>
      </c>
      <c r="F5" s="38">
        <v>2960366</v>
      </c>
      <c r="G5" s="38">
        <v>3053605.5</v>
      </c>
      <c r="H5" s="38">
        <v>3350072</v>
      </c>
      <c r="I5" s="38">
        <v>3668440</v>
      </c>
      <c r="J5" s="38">
        <v>3975009.25</v>
      </c>
      <c r="K5" s="38">
        <v>4227392.5</v>
      </c>
      <c r="L5" s="329"/>
    </row>
    <row r="6" spans="1:12">
      <c r="A6" s="328" t="s">
        <v>21</v>
      </c>
      <c r="B6" s="38">
        <v>870288</v>
      </c>
      <c r="C6" s="38">
        <v>940837</v>
      </c>
      <c r="D6" s="38">
        <v>1095186</v>
      </c>
      <c r="E6" s="38">
        <v>1246988</v>
      </c>
      <c r="F6" s="38">
        <v>1238481</v>
      </c>
      <c r="G6" s="38">
        <v>1297704</v>
      </c>
      <c r="H6" s="38">
        <v>1379828.875</v>
      </c>
      <c r="I6" s="38">
        <v>1476151.5</v>
      </c>
      <c r="J6" s="38">
        <v>1565062.875</v>
      </c>
      <c r="K6" s="38">
        <v>1648388.125</v>
      </c>
      <c r="L6" s="329"/>
    </row>
    <row r="7" spans="1:12">
      <c r="A7" s="328" t="s">
        <v>22</v>
      </c>
      <c r="B7" s="38">
        <v>3565543</v>
      </c>
      <c r="C7" s="38">
        <v>3854003</v>
      </c>
      <c r="D7" s="38">
        <v>4262970</v>
      </c>
      <c r="E7" s="38">
        <v>4589776</v>
      </c>
      <c r="F7" s="38">
        <v>5172550</v>
      </c>
      <c r="G7" s="38">
        <v>5510837.3959960938</v>
      </c>
      <c r="H7" s="38">
        <v>6301555.125</v>
      </c>
      <c r="I7" s="38">
        <v>7273094.8359375</v>
      </c>
      <c r="J7" s="38">
        <v>8275081.75</v>
      </c>
      <c r="K7" s="38">
        <v>9092313.375</v>
      </c>
      <c r="L7" s="329"/>
    </row>
    <row r="8" spans="1:12">
      <c r="A8" s="328" t="s">
        <v>23</v>
      </c>
      <c r="B8" s="38">
        <v>6289246</v>
      </c>
      <c r="C8" s="38">
        <v>6926656</v>
      </c>
      <c r="D8" s="38">
        <v>7754322</v>
      </c>
      <c r="E8" s="38">
        <v>8531502</v>
      </c>
      <c r="F8" s="38">
        <v>9371397</v>
      </c>
      <c r="G8" s="38">
        <v>9862146.8959960938</v>
      </c>
      <c r="H8" s="38">
        <v>11031456</v>
      </c>
      <c r="I8" s="38">
        <v>12417686.3359375</v>
      </c>
      <c r="J8" s="38">
        <v>13815153.875</v>
      </c>
      <c r="K8" s="38">
        <v>14968094</v>
      </c>
      <c r="L8" s="329"/>
    </row>
    <row r="9" spans="1:12" ht="15.6">
      <c r="A9" s="328" t="s">
        <v>150</v>
      </c>
      <c r="B9" s="38">
        <v>595080</v>
      </c>
      <c r="C9" s="38">
        <v>667408</v>
      </c>
      <c r="D9" s="38">
        <v>729074</v>
      </c>
      <c r="E9" s="38">
        <v>808805</v>
      </c>
      <c r="F9" s="38">
        <v>866330</v>
      </c>
      <c r="G9" s="38">
        <v>852923.10400390625</v>
      </c>
      <c r="H9" s="38">
        <v>996206</v>
      </c>
      <c r="I9" s="38">
        <v>1071955.6640625</v>
      </c>
      <c r="J9" s="38">
        <v>1218456.125</v>
      </c>
      <c r="K9" s="38">
        <v>1256384</v>
      </c>
      <c r="L9" s="329"/>
    </row>
    <row r="10" spans="1:12">
      <c r="A10" s="35" t="s">
        <v>134</v>
      </c>
      <c r="B10" s="39">
        <v>6884327</v>
      </c>
      <c r="C10" s="39">
        <v>7594064</v>
      </c>
      <c r="D10" s="39">
        <v>8483396</v>
      </c>
      <c r="E10" s="39">
        <v>9340307</v>
      </c>
      <c r="F10" s="39">
        <v>10237727</v>
      </c>
      <c r="G10" s="39">
        <v>10715070</v>
      </c>
      <c r="H10" s="39">
        <v>12027662</v>
      </c>
      <c r="I10" s="39">
        <v>13489642</v>
      </c>
      <c r="J10" s="39">
        <v>15033610</v>
      </c>
      <c r="K10" s="39">
        <v>16224478</v>
      </c>
      <c r="L10" s="329"/>
    </row>
    <row r="11" spans="1:12">
      <c r="A11" s="37" t="s">
        <v>27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29"/>
    </row>
    <row r="12" spans="1:12">
      <c r="A12" s="330" t="s">
        <v>28</v>
      </c>
      <c r="B12" s="38">
        <v>7859</v>
      </c>
      <c r="C12" s="38">
        <v>10099</v>
      </c>
      <c r="D12" s="38">
        <v>14875</v>
      </c>
      <c r="E12" s="38">
        <v>21622</v>
      </c>
      <c r="F12" s="38">
        <v>22174</v>
      </c>
      <c r="G12" s="38">
        <v>15776.151718385001</v>
      </c>
      <c r="H12" s="38">
        <v>21195.514825099999</v>
      </c>
      <c r="I12" s="38">
        <v>16721.593744780002</v>
      </c>
      <c r="J12" s="38">
        <v>25755.24374048</v>
      </c>
      <c r="K12" s="38">
        <v>38986.645815630807</v>
      </c>
      <c r="L12" s="329"/>
    </row>
    <row r="13" spans="1:12">
      <c r="A13" s="330" t="s">
        <v>29</v>
      </c>
      <c r="B13" s="38">
        <v>-87643</v>
      </c>
      <c r="C13" s="38">
        <v>-112953</v>
      </c>
      <c r="D13" s="38">
        <v>-176303</v>
      </c>
      <c r="E13" s="38">
        <v>-162502</v>
      </c>
      <c r="F13" s="38">
        <v>-185850</v>
      </c>
      <c r="G13" s="38">
        <v>-87714.698191170333</v>
      </c>
      <c r="H13" s="38">
        <v>-188833.57010043453</v>
      </c>
      <c r="I13" s="38">
        <v>-224135.33066311094</v>
      </c>
      <c r="J13" s="38">
        <v>-284107.80918631575</v>
      </c>
      <c r="K13" s="38">
        <v>-291282.86948697793</v>
      </c>
      <c r="L13" s="329"/>
    </row>
    <row r="14" spans="1:12">
      <c r="A14" s="35" t="s">
        <v>135</v>
      </c>
      <c r="B14" s="39">
        <v>6804542</v>
      </c>
      <c r="C14" s="39">
        <v>7491210</v>
      </c>
      <c r="D14" s="39">
        <v>8321968</v>
      </c>
      <c r="E14" s="39">
        <v>9199427</v>
      </c>
      <c r="F14" s="39">
        <v>10074051</v>
      </c>
      <c r="G14" s="39">
        <v>10643131.453527216</v>
      </c>
      <c r="H14" s="39">
        <v>11860023.944724666</v>
      </c>
      <c r="I14" s="39">
        <v>13282228.26308167</v>
      </c>
      <c r="J14" s="39">
        <v>14775257.434554165</v>
      </c>
      <c r="K14" s="39">
        <v>15972181.776328653</v>
      </c>
      <c r="L14" s="329"/>
    </row>
    <row r="15" spans="1:12">
      <c r="A15" s="37" t="s">
        <v>31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29"/>
    </row>
    <row r="16" spans="1:12">
      <c r="A16" s="330" t="s">
        <v>28</v>
      </c>
      <c r="B16" s="38">
        <v>345218</v>
      </c>
      <c r="C16" s="38">
        <v>333477</v>
      </c>
      <c r="D16" s="38">
        <v>466248</v>
      </c>
      <c r="E16" s="38">
        <v>511848</v>
      </c>
      <c r="F16" s="38">
        <v>544457</v>
      </c>
      <c r="G16" s="38">
        <v>535310.52988356794</v>
      </c>
      <c r="H16" s="38">
        <v>686237.97256289143</v>
      </c>
      <c r="I16" s="38">
        <v>774316.64685568702</v>
      </c>
      <c r="J16" s="38">
        <v>990052.26660117402</v>
      </c>
      <c r="K16" s="38">
        <v>1032178.3415928654</v>
      </c>
      <c r="L16" s="329"/>
    </row>
    <row r="17" spans="1:12">
      <c r="A17" s="330" t="s">
        <v>29</v>
      </c>
      <c r="B17" s="38">
        <v>-6217</v>
      </c>
      <c r="C17" s="38">
        <v>-5192</v>
      </c>
      <c r="D17" s="38">
        <v>-5787</v>
      </c>
      <c r="E17" s="38">
        <v>-4850</v>
      </c>
      <c r="F17" s="38">
        <v>-5574</v>
      </c>
      <c r="G17" s="38">
        <v>-8202.5234650000002</v>
      </c>
      <c r="H17" s="38">
        <v>-15414.7812992</v>
      </c>
      <c r="I17" s="38">
        <v>-5557.0344020000002</v>
      </c>
      <c r="J17" s="38">
        <v>-12456.549085999999</v>
      </c>
      <c r="K17" s="38">
        <v>-6467.4970510000003</v>
      </c>
      <c r="L17" s="329"/>
    </row>
    <row r="18" spans="1:12" ht="13.8">
      <c r="A18" s="70" t="s">
        <v>136</v>
      </c>
      <c r="B18" s="71">
        <v>7143543</v>
      </c>
      <c r="C18" s="71">
        <v>7819495</v>
      </c>
      <c r="D18" s="71">
        <v>8782428</v>
      </c>
      <c r="E18" s="71">
        <v>9706424</v>
      </c>
      <c r="F18" s="71">
        <v>10612934</v>
      </c>
      <c r="G18" s="71">
        <v>11170239.459945783</v>
      </c>
      <c r="H18" s="71">
        <v>12530847.135988358</v>
      </c>
      <c r="I18" s="71">
        <v>14050987.875535358</v>
      </c>
      <c r="J18" s="71">
        <v>15752853.152069338</v>
      </c>
      <c r="K18" s="71">
        <v>16997892.620870519</v>
      </c>
      <c r="L18" s="329"/>
    </row>
    <row r="19" spans="1:12">
      <c r="A19" s="35" t="s">
        <v>36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329"/>
    </row>
    <row r="20" spans="1:12">
      <c r="A20" s="331" t="s">
        <v>138</v>
      </c>
      <c r="B20" s="38">
        <v>159049</v>
      </c>
      <c r="C20" s="38">
        <v>171472</v>
      </c>
      <c r="D20" s="38">
        <v>187271</v>
      </c>
      <c r="E20" s="38">
        <v>201300</v>
      </c>
      <c r="F20" s="38">
        <v>215078</v>
      </c>
      <c r="G20" s="38">
        <v>219492.2287865527</v>
      </c>
      <c r="H20" s="38">
        <v>241906.82821854926</v>
      </c>
      <c r="I20" s="38">
        <v>266473.04633604118</v>
      </c>
      <c r="J20" s="38">
        <v>291769.71152075822</v>
      </c>
      <c r="K20" s="38">
        <v>309460.3684643443</v>
      </c>
      <c r="L20" s="329"/>
    </row>
    <row r="21" spans="1:12">
      <c r="A21" s="331" t="s">
        <v>139</v>
      </c>
      <c r="B21" s="38">
        <v>157206</v>
      </c>
      <c r="C21" s="38">
        <v>169150</v>
      </c>
      <c r="D21" s="38">
        <v>183708</v>
      </c>
      <c r="E21" s="38">
        <v>198264</v>
      </c>
      <c r="F21" s="38">
        <v>211640</v>
      </c>
      <c r="G21" s="38">
        <v>218018.60781151694</v>
      </c>
      <c r="H21" s="38">
        <v>238535.20119408</v>
      </c>
      <c r="I21" s="38">
        <v>262375.81600712886</v>
      </c>
      <c r="J21" s="38">
        <v>286755.64946309017</v>
      </c>
      <c r="K21" s="38">
        <v>304648.15309818595</v>
      </c>
      <c r="L21" s="329"/>
    </row>
    <row r="22" spans="1:12">
      <c r="A22" s="35" t="s">
        <v>143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29"/>
    </row>
    <row r="23" spans="1:12">
      <c r="A23" s="37" t="s">
        <v>137</v>
      </c>
      <c r="B23" s="38">
        <v>7284515</v>
      </c>
      <c r="C23" s="38">
        <v>7594064</v>
      </c>
      <c r="D23" s="38">
        <v>7883816</v>
      </c>
      <c r="E23" s="38">
        <v>8327604</v>
      </c>
      <c r="F23" s="38">
        <v>8756946</v>
      </c>
      <c r="G23" s="38">
        <v>8733060</v>
      </c>
      <c r="H23" s="38">
        <v>9395942</v>
      </c>
      <c r="I23" s="38">
        <v>9852583</v>
      </c>
      <c r="J23" s="38">
        <v>10416150</v>
      </c>
      <c r="K23" s="38">
        <v>10908286</v>
      </c>
      <c r="L23" s="329"/>
    </row>
    <row r="24" spans="1:12">
      <c r="A24" s="37" t="s">
        <v>140</v>
      </c>
      <c r="B24" s="38">
        <v>168295</v>
      </c>
      <c r="C24" s="38">
        <v>171472</v>
      </c>
      <c r="D24" s="38">
        <v>174036</v>
      </c>
      <c r="E24" s="38">
        <v>179474</v>
      </c>
      <c r="F24" s="38">
        <v>183969</v>
      </c>
      <c r="G24" s="38">
        <v>178891.8601116644</v>
      </c>
      <c r="H24" s="38">
        <v>188976.25551378581</v>
      </c>
      <c r="I24" s="38">
        <v>194626.94460599413</v>
      </c>
      <c r="J24" s="38">
        <v>202154.84375721769</v>
      </c>
      <c r="K24" s="38">
        <v>208061.06704169148</v>
      </c>
      <c r="L24" s="329"/>
    </row>
    <row r="25" spans="1:12">
      <c r="A25" s="112" t="s">
        <v>175</v>
      </c>
      <c r="B25" s="113">
        <v>4.2</v>
      </c>
      <c r="C25" s="113">
        <v>1.9</v>
      </c>
      <c r="D25" s="113">
        <v>1.5</v>
      </c>
      <c r="E25" s="113">
        <v>3.1</v>
      </c>
      <c r="F25" s="113">
        <v>2.5</v>
      </c>
      <c r="G25" s="113">
        <v>-2.7600199736845923</v>
      </c>
      <c r="H25" s="113">
        <v>5.6371460366205071</v>
      </c>
      <c r="I25" s="113">
        <v>2.9901582486356943</v>
      </c>
      <c r="J25" s="113">
        <v>3.8678607252778647</v>
      </c>
      <c r="K25" s="113">
        <v>2.9216333255744189</v>
      </c>
      <c r="L25" s="329"/>
    </row>
    <row r="26" spans="1:12">
      <c r="A26" s="363" t="s">
        <v>18</v>
      </c>
    </row>
    <row r="27" spans="1:12">
      <c r="A27" s="364" t="s">
        <v>196</v>
      </c>
      <c r="B27" s="24"/>
      <c r="C27" s="24"/>
      <c r="D27" s="357"/>
      <c r="E27" s="357"/>
      <c r="F27" s="357"/>
      <c r="G27" s="357"/>
      <c r="H27" s="357"/>
      <c r="I27" s="357"/>
      <c r="J27" s="357"/>
      <c r="K27" s="357"/>
    </row>
    <row r="29" spans="1:12">
      <c r="A29" s="81" t="s">
        <v>193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</row>
    <row r="30" spans="1:12">
      <c r="A30" s="81"/>
      <c r="B30" s="82"/>
      <c r="C30" s="82"/>
      <c r="D30" s="82"/>
      <c r="E30" s="82"/>
      <c r="F30" s="82"/>
      <c r="G30" s="82"/>
      <c r="H30" s="82"/>
      <c r="I30" s="82"/>
      <c r="J30" s="370" t="s">
        <v>60</v>
      </c>
      <c r="K30" s="370"/>
    </row>
    <row r="31" spans="1:12" ht="15.6">
      <c r="A31" s="332"/>
      <c r="B31" s="104">
        <v>2015</v>
      </c>
      <c r="C31" s="104">
        <v>2016</v>
      </c>
      <c r="D31" s="104">
        <v>2017</v>
      </c>
      <c r="E31" s="104">
        <v>2018</v>
      </c>
      <c r="F31" s="104">
        <v>2019</v>
      </c>
      <c r="G31" s="104">
        <v>2020</v>
      </c>
      <c r="H31" s="104">
        <v>2021</v>
      </c>
      <c r="I31" s="104" t="s">
        <v>179</v>
      </c>
      <c r="J31" s="104" t="s">
        <v>181</v>
      </c>
      <c r="K31" s="104" t="s">
        <v>182</v>
      </c>
    </row>
    <row r="32" spans="1:12">
      <c r="A32" s="333" t="s">
        <v>38</v>
      </c>
      <c r="B32" s="334"/>
      <c r="C32" s="334"/>
      <c r="D32" s="334"/>
      <c r="E32" s="334"/>
      <c r="F32" s="334"/>
      <c r="G32" s="334"/>
      <c r="H32" s="334"/>
      <c r="I32" s="334"/>
      <c r="J32" s="334"/>
      <c r="K32" s="334"/>
    </row>
    <row r="33" spans="1:12" s="337" customFormat="1">
      <c r="A33" s="335" t="s">
        <v>32</v>
      </c>
      <c r="B33" s="57">
        <v>7143543</v>
      </c>
      <c r="C33" s="57">
        <v>7819495</v>
      </c>
      <c r="D33" s="57">
        <v>8782428</v>
      </c>
      <c r="E33" s="57">
        <v>9706424</v>
      </c>
      <c r="F33" s="57">
        <v>10612934</v>
      </c>
      <c r="G33" s="57">
        <v>11170239.459945783</v>
      </c>
      <c r="H33" s="57">
        <v>12530847.135988358</v>
      </c>
      <c r="I33" s="57">
        <v>14050987.875535358</v>
      </c>
      <c r="J33" s="57">
        <v>15752853.152069338</v>
      </c>
      <c r="K33" s="57">
        <v>16997892.620870519</v>
      </c>
      <c r="L33" s="356"/>
    </row>
    <row r="34" spans="1:12">
      <c r="A34" s="338" t="s">
        <v>21</v>
      </c>
      <c r="B34" s="58">
        <v>870288</v>
      </c>
      <c r="C34" s="58">
        <v>940837</v>
      </c>
      <c r="D34" s="58">
        <v>1095186</v>
      </c>
      <c r="E34" s="58">
        <v>1246988</v>
      </c>
      <c r="F34" s="58">
        <v>1238481</v>
      </c>
      <c r="G34" s="58">
        <v>1297704</v>
      </c>
      <c r="H34" s="58">
        <v>1379828.875</v>
      </c>
      <c r="I34" s="58">
        <v>1476151.5</v>
      </c>
      <c r="J34" s="58">
        <v>1565062.875</v>
      </c>
      <c r="K34" s="58">
        <v>1648388.125</v>
      </c>
      <c r="L34" s="336"/>
    </row>
    <row r="35" spans="1:12" s="337" customFormat="1">
      <c r="A35" s="335" t="s">
        <v>39</v>
      </c>
      <c r="B35" s="57">
        <v>6273254</v>
      </c>
      <c r="C35" s="57">
        <v>6878658</v>
      </c>
      <c r="D35" s="57">
        <v>7687242</v>
      </c>
      <c r="E35" s="57">
        <v>8459436</v>
      </c>
      <c r="F35" s="57">
        <v>9374453</v>
      </c>
      <c r="G35" s="57">
        <v>9872535.459945783</v>
      </c>
      <c r="H35" s="57">
        <v>11151018.260988358</v>
      </c>
      <c r="I35" s="57">
        <v>12574836.375535358</v>
      </c>
      <c r="J35" s="57">
        <v>14187790.277069338</v>
      </c>
      <c r="K35" s="57">
        <v>15349504.495870519</v>
      </c>
      <c r="L35" s="336"/>
    </row>
    <row r="36" spans="1:12">
      <c r="A36" s="338" t="s">
        <v>40</v>
      </c>
      <c r="B36" s="60">
        <v>6074958</v>
      </c>
      <c r="C36" s="60">
        <v>6760015</v>
      </c>
      <c r="D36" s="60">
        <v>7656099</v>
      </c>
      <c r="E36" s="60">
        <v>8355054</v>
      </c>
      <c r="F36" s="60">
        <v>9172334</v>
      </c>
      <c r="G36" s="60">
        <v>9527521.421875</v>
      </c>
      <c r="H36" s="60">
        <v>10541405.1171875</v>
      </c>
      <c r="I36" s="60">
        <v>11857549.7265625</v>
      </c>
      <c r="J36" s="60">
        <v>13339448.015625</v>
      </c>
      <c r="K36" s="60">
        <v>14404014.3203125</v>
      </c>
      <c r="L36" s="336"/>
    </row>
    <row r="37" spans="1:12">
      <c r="A37" s="339" t="s">
        <v>148</v>
      </c>
      <c r="B37" s="60">
        <v>5104892</v>
      </c>
      <c r="C37" s="60">
        <v>5704205</v>
      </c>
      <c r="D37" s="60">
        <v>6495722</v>
      </c>
      <c r="E37" s="60">
        <v>7099419</v>
      </c>
      <c r="F37" s="60">
        <v>7818862</v>
      </c>
      <c r="G37" s="60">
        <v>8078073.5</v>
      </c>
      <c r="H37" s="60">
        <v>8970837</v>
      </c>
      <c r="I37" s="60">
        <v>10106644</v>
      </c>
      <c r="J37" s="60">
        <v>11459938</v>
      </c>
      <c r="K37" s="60">
        <v>12483729</v>
      </c>
      <c r="L37" s="336"/>
    </row>
    <row r="38" spans="1:12">
      <c r="A38" s="339" t="s">
        <v>14</v>
      </c>
      <c r="B38" s="60">
        <v>876145</v>
      </c>
      <c r="C38" s="60">
        <v>957594</v>
      </c>
      <c r="D38" s="60">
        <v>1046434</v>
      </c>
      <c r="E38" s="60">
        <v>1153406</v>
      </c>
      <c r="F38" s="60">
        <v>1246013</v>
      </c>
      <c r="G38" s="60">
        <v>1336990.375</v>
      </c>
      <c r="H38" s="60">
        <v>1460983.375</v>
      </c>
      <c r="I38" s="60">
        <v>1647530.875</v>
      </c>
      <c r="J38" s="60">
        <v>1770503.375</v>
      </c>
      <c r="K38" s="60">
        <v>1809938.125</v>
      </c>
      <c r="L38" s="336"/>
    </row>
    <row r="39" spans="1:12">
      <c r="A39" s="339" t="s">
        <v>147</v>
      </c>
      <c r="B39" s="60">
        <v>93921</v>
      </c>
      <c r="C39" s="60">
        <v>98216</v>
      </c>
      <c r="D39" s="60">
        <v>113943</v>
      </c>
      <c r="E39" s="60">
        <v>102229</v>
      </c>
      <c r="F39" s="60">
        <v>107459</v>
      </c>
      <c r="G39" s="60">
        <v>112457.546875</v>
      </c>
      <c r="H39" s="60">
        <v>109584.7421875</v>
      </c>
      <c r="I39" s="60">
        <v>103374.8515625</v>
      </c>
      <c r="J39" s="60">
        <v>109006.640625</v>
      </c>
      <c r="K39" s="60">
        <v>110347.1953125</v>
      </c>
      <c r="L39" s="336"/>
    </row>
    <row r="40" spans="1:12">
      <c r="A40" s="338" t="s">
        <v>42</v>
      </c>
      <c r="B40" s="58">
        <v>198296</v>
      </c>
      <c r="C40" s="58">
        <v>118643</v>
      </c>
      <c r="D40" s="58">
        <v>31143</v>
      </c>
      <c r="E40" s="58">
        <v>104382</v>
      </c>
      <c r="F40" s="58">
        <v>202119</v>
      </c>
      <c r="G40" s="58">
        <v>345014.03807078302</v>
      </c>
      <c r="H40" s="58">
        <v>609613.14380085841</v>
      </c>
      <c r="I40" s="58">
        <v>717286.64897285774</v>
      </c>
      <c r="J40" s="58">
        <v>848342.26144433767</v>
      </c>
      <c r="K40" s="58">
        <v>945490.17555801943</v>
      </c>
      <c r="L40" s="336"/>
    </row>
    <row r="41" spans="1:12">
      <c r="A41" s="340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336"/>
    </row>
    <row r="42" spans="1:12">
      <c r="A42" s="338" t="s">
        <v>42</v>
      </c>
      <c r="B42" s="58">
        <v>198296</v>
      </c>
      <c r="C42" s="58">
        <v>118643</v>
      </c>
      <c r="D42" s="58">
        <v>31143</v>
      </c>
      <c r="E42" s="58">
        <v>104382</v>
      </c>
      <c r="F42" s="58">
        <v>202119</v>
      </c>
      <c r="G42" s="58">
        <v>345014.03807078302</v>
      </c>
      <c r="H42" s="58">
        <v>609613.14380085841</v>
      </c>
      <c r="I42" s="58">
        <v>717286.64897285774</v>
      </c>
      <c r="J42" s="58">
        <v>848342.26144433767</v>
      </c>
      <c r="K42" s="58">
        <v>945490.17555801943</v>
      </c>
      <c r="L42" s="336"/>
    </row>
    <row r="43" spans="1:12">
      <c r="A43" s="338" t="s">
        <v>149</v>
      </c>
      <c r="B43" s="58">
        <v>25718</v>
      </c>
      <c r="C43" s="58">
        <v>20878</v>
      </c>
      <c r="D43" s="58">
        <v>19046</v>
      </c>
      <c r="E43" s="58">
        <v>26593</v>
      </c>
      <c r="F43" s="58">
        <v>21146</v>
      </c>
      <c r="G43" s="58">
        <v>14023</v>
      </c>
      <c r="H43" s="58">
        <v>21450.6</v>
      </c>
      <c r="I43" s="58">
        <v>16508</v>
      </c>
      <c r="J43" s="58">
        <v>17264</v>
      </c>
      <c r="K43" s="58">
        <v>31247</v>
      </c>
      <c r="L43" s="336"/>
    </row>
    <row r="44" spans="1:12" s="337" customFormat="1">
      <c r="A44" s="335" t="s">
        <v>46</v>
      </c>
      <c r="B44" s="341">
        <v>224014</v>
      </c>
      <c r="C44" s="341">
        <v>139521</v>
      </c>
      <c r="D44" s="341">
        <v>50189</v>
      </c>
      <c r="E44" s="341">
        <v>130975</v>
      </c>
      <c r="F44" s="341">
        <v>223265</v>
      </c>
      <c r="G44" s="341">
        <v>359037.03807078302</v>
      </c>
      <c r="H44" s="341">
        <v>631063.74380085838</v>
      </c>
      <c r="I44" s="341">
        <v>733794.64897285774</v>
      </c>
      <c r="J44" s="341">
        <v>865606.26144433767</v>
      </c>
      <c r="K44" s="341">
        <v>976737.17555801943</v>
      </c>
      <c r="L44" s="336"/>
    </row>
    <row r="45" spans="1:12">
      <c r="A45" s="338" t="s">
        <v>47</v>
      </c>
      <c r="B45" s="58">
        <v>1520817</v>
      </c>
      <c r="C45" s="58">
        <v>1472621</v>
      </c>
      <c r="D45" s="58">
        <v>1687833</v>
      </c>
      <c r="E45" s="58">
        <v>1783811</v>
      </c>
      <c r="F45" s="58">
        <v>1941234</v>
      </c>
      <c r="G45" s="58">
        <v>2070321.25</v>
      </c>
      <c r="H45" s="58">
        <v>2367796.5</v>
      </c>
      <c r="I45" s="58">
        <v>2509781.5</v>
      </c>
      <c r="J45" s="58">
        <v>2625439.75</v>
      </c>
      <c r="K45" s="58">
        <v>2845545</v>
      </c>
      <c r="L45" s="336"/>
    </row>
    <row r="46" spans="1:12">
      <c r="A46" s="338" t="s">
        <v>21</v>
      </c>
      <c r="B46" s="60">
        <v>-870288</v>
      </c>
      <c r="C46" s="60">
        <v>-940837</v>
      </c>
      <c r="D46" s="60">
        <v>-1095186</v>
      </c>
      <c r="E46" s="60">
        <v>-1246988</v>
      </c>
      <c r="F46" s="60">
        <v>-1238481</v>
      </c>
      <c r="G46" s="60">
        <v>-1297704</v>
      </c>
      <c r="H46" s="60">
        <v>-1379828.875</v>
      </c>
      <c r="I46" s="60">
        <v>-1476151.5</v>
      </c>
      <c r="J46" s="60">
        <v>-1565062.875</v>
      </c>
      <c r="K46" s="60">
        <v>-1648388.125</v>
      </c>
      <c r="L46" s="336"/>
    </row>
    <row r="47" spans="1:12">
      <c r="A47" s="338" t="s">
        <v>48</v>
      </c>
      <c r="B47" s="58">
        <v>851</v>
      </c>
      <c r="C47" s="58">
        <v>-3288</v>
      </c>
      <c r="D47" s="58">
        <v>65133</v>
      </c>
      <c r="E47" s="58">
        <v>25965</v>
      </c>
      <c r="F47" s="58">
        <v>38930</v>
      </c>
      <c r="G47" s="58">
        <v>35360.25</v>
      </c>
      <c r="H47" s="58">
        <v>84792.6796875</v>
      </c>
      <c r="I47" s="58">
        <v>60543.375</v>
      </c>
      <c r="J47" s="58">
        <v>-134258.109375</v>
      </c>
      <c r="K47" s="58">
        <v>-123539.1484375</v>
      </c>
      <c r="L47" s="336"/>
    </row>
    <row r="48" spans="1:12">
      <c r="A48" s="338" t="s">
        <v>49</v>
      </c>
      <c r="B48" s="34">
        <v>-427365</v>
      </c>
      <c r="C48" s="34">
        <v>-388975</v>
      </c>
      <c r="D48" s="34">
        <v>-607591</v>
      </c>
      <c r="E48" s="34">
        <v>-431813</v>
      </c>
      <c r="F48" s="34">
        <v>-518418</v>
      </c>
      <c r="G48" s="34">
        <v>-448940.46192921698</v>
      </c>
      <c r="H48" s="34">
        <v>-441696.56088664162</v>
      </c>
      <c r="I48" s="34">
        <v>-360378.72602714226</v>
      </c>
      <c r="J48" s="34">
        <v>-60512.504180662334</v>
      </c>
      <c r="K48" s="34">
        <v>-96880.551004480571</v>
      </c>
      <c r="L48" s="336"/>
    </row>
    <row r="49" spans="1:12" s="337" customFormat="1">
      <c r="A49" s="342" t="s">
        <v>46</v>
      </c>
      <c r="B49" s="343">
        <v>224014</v>
      </c>
      <c r="C49" s="343">
        <v>139521</v>
      </c>
      <c r="D49" s="343">
        <v>50189</v>
      </c>
      <c r="E49" s="343">
        <v>130975</v>
      </c>
      <c r="F49" s="343">
        <v>223265</v>
      </c>
      <c r="G49" s="343">
        <v>359037.03807078302</v>
      </c>
      <c r="H49" s="343">
        <v>631063.74380085838</v>
      </c>
      <c r="I49" s="343">
        <v>733794.64897285774</v>
      </c>
      <c r="J49" s="343">
        <v>865606.26144433767</v>
      </c>
      <c r="K49" s="343">
        <v>976737.17555801943</v>
      </c>
      <c r="L49" s="336"/>
    </row>
    <row r="50" spans="1:12">
      <c r="A50" s="363" t="s">
        <v>18</v>
      </c>
    </row>
    <row r="51" spans="1:12">
      <c r="A51" s="364" t="s">
        <v>196</v>
      </c>
    </row>
    <row r="52" spans="1:12">
      <c r="A52" s="16"/>
    </row>
  </sheetData>
  <pageMargins left="0.74803149606299202" right="0.70866141732283505" top="0.74803149606299202" bottom="0.511811023622047" header="0.23622047244094499" footer="0.23622047244094499"/>
  <pageSetup paperSize="9" scale="42" firstPageNumber="16" orientation="portrait" useFirstPageNumber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Table 2.1</vt:lpstr>
      <vt:lpstr>Table 2.2</vt:lpstr>
      <vt:lpstr>Table 2.3</vt:lpstr>
      <vt:lpstr>Table 2.4</vt:lpstr>
      <vt:lpstr>Table 2.5</vt:lpstr>
      <vt:lpstr>Table 30</vt:lpstr>
      <vt:lpstr>Tables 31a, b, c</vt:lpstr>
      <vt:lpstr>Tables 32a,b-33a,b</vt:lpstr>
      <vt:lpstr>Table 34</vt:lpstr>
      <vt:lpstr>Tables 35</vt:lpstr>
      <vt:lpstr>Sheet1</vt:lpstr>
      <vt:lpstr>Sheet2</vt:lpstr>
      <vt:lpstr>Table 2.6 a,b,c,d</vt:lpstr>
      <vt:lpstr>Table 2.7a,b,c,d</vt:lpstr>
      <vt:lpstr>Table 2.8 - 2.9</vt:lpstr>
      <vt:lpstr>Sheet3</vt:lpstr>
      <vt:lpstr>'Table 2.1'!Print_Area</vt:lpstr>
      <vt:lpstr>'Table 2.2'!Print_Area</vt:lpstr>
      <vt:lpstr>'Table 2.3'!Print_Area</vt:lpstr>
      <vt:lpstr>'Table 2.4'!Print_Area</vt:lpstr>
      <vt:lpstr>'Table 2.6 a,b,c,d'!Print_Area</vt:lpstr>
      <vt:lpstr>'Table 2.7a,b,c,d'!Print_Area</vt:lpstr>
      <vt:lpstr>'Table 2.8 - 2.9'!Print_Area</vt:lpstr>
      <vt:lpstr>'Table 30'!Print_Area</vt:lpstr>
      <vt:lpstr>'Tables 31a, b, c'!Print_Area</vt:lpstr>
      <vt:lpstr>'Tables 32a,b-33a,b'!Print_Area</vt:lpstr>
      <vt:lpstr>'Tables 35'!Print_Area</vt:lpstr>
      <vt:lpstr>'Table 2.1'!Print_Titles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Abuga</dc:creator>
  <cp:lastModifiedBy>michaelokerow@outlook.com</cp:lastModifiedBy>
  <cp:lastPrinted>2022-12-09T07:49:07Z</cp:lastPrinted>
  <dcterms:created xsi:type="dcterms:W3CDTF">2010-09-08T08:32:03Z</dcterms:created>
  <dcterms:modified xsi:type="dcterms:W3CDTF">2025-12-16T04:27:31Z</dcterms:modified>
</cp:coreProperties>
</file>